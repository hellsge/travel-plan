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暑期 · 烟台威海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meta" sheetId="3" state="hidden" r:id="rId3"/>
  </sheets>
  <definedNames>
    <definedName name="_xlnm.Print_Titles" localSheetId="0">'2025 暑期 · 烟台威海'!$4:$4</definedName>
    <definedName name="_xlnm.Print_Area" localSheetId="0">'2025 暑期 · 烟台威海'!$A$1:$L$33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[$-804]mm-dd aaa"/>
    <numFmt numFmtId="166" formatCode="mm-dd"/>
    <numFmt numFmtId="167" formatCode="hh:mm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color rgb="001f3a68"/>
    </font>
    <font>
      <color rgb="0098a2b3"/>
    </font>
  </fonts>
  <fills count="4">
    <fill>
      <patternFill/>
    </fill>
    <fill>
      <patternFill patternType="gray125"/>
    </fill>
    <fill>
      <patternFill patternType="solid">
        <fgColor rgb="00344054"/>
        <bgColor rgb="00344054"/>
      </patternFill>
    </fill>
    <fill>
      <patternFill patternType="solid">
        <fgColor rgb="00dbe7f5"/>
        <bgColor rgb="00db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165" fontId="4" fillId="3" borderId="0" pivotButton="0" quotePrefix="0" xfId="0"/>
    <xf numFmtId="0" fontId="4" fillId="3" borderId="0" pivotButton="0" quotePrefix="0" xfId="0"/>
    <xf numFmtId="166" fontId="5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1">
    <dxf>
      <font>
        <b val="1"/>
        <color rgb="002673d9"/>
      </font>
      <fill>
        <patternFill patternType="solid">
          <fgColor rgb="00e1ebfa"/>
          <bgColor rgb="00e1ebfa"/>
        </patternFill>
      </fill>
    </dxf>
    <dxf>
      <font>
        <b val="1"/>
        <color rgb="007c4dcc"/>
      </font>
      <fill>
        <patternFill patternType="solid">
          <fgColor rgb="00ede6f8"/>
          <bgColor rgb="00ede6f8"/>
        </patternFill>
      </fill>
    </dxf>
    <dxf>
      <font>
        <b val="1"/>
        <color rgb="00219653"/>
      </font>
      <fill>
        <patternFill patternType="solid">
          <fgColor rgb="00e0f0e7"/>
          <bgColor rgb="00e0f0e7"/>
        </patternFill>
      </fill>
    </dxf>
    <dxf>
      <font>
        <b val="1"/>
        <color rgb="00dc7318"/>
      </font>
      <fill>
        <patternFill patternType="solid">
          <fgColor rgb="00faebdf"/>
          <bgColor rgb="00faebdf"/>
        </patternFill>
      </fill>
    </dxf>
    <dxf>
      <font>
        <b val="1"/>
        <color rgb="00667085"/>
      </font>
      <fill>
        <patternFill patternType="solid">
          <fgColor rgb="00eaebee"/>
          <bgColor rgb="00eaebee"/>
        </patternFill>
      </fill>
    </dxf>
    <dxf>
      <font>
        <b val="1"/>
        <color rgb="00d94f8a"/>
      </font>
      <fill>
        <patternFill patternType="solid">
          <fgColor rgb="00fae6ef"/>
          <bgColor rgb="00fae6ef"/>
        </patternFill>
      </fill>
    </dxf>
    <dxf>
      <font>
        <b val="1"/>
        <color rgb="0080685b"/>
      </font>
      <fill>
        <patternFill patternType="solid">
          <fgColor rgb="00edeae8"/>
          <bgColor rgb="00edeae8"/>
        </patternFill>
      </fill>
    </dxf>
    <dxf>
      <font>
        <b val="1"/>
        <color rgb="00475467"/>
      </font>
      <fill>
        <patternFill patternType="solid">
          <fgColor rgb="00eef2f6"/>
          <bgColor rgb="00eef2f6"/>
        </patternFill>
      </fill>
    </dxf>
    <dxf>
      <font>
        <b val="1"/>
        <color rgb="00704d00"/>
      </font>
      <fill>
        <patternFill patternType="solid">
          <fgColor rgb="00fef0b8"/>
          <bgColor rgb="00fef0b8"/>
        </patternFill>
      </fill>
    </dxf>
    <dxf>
      <font>
        <b val="1"/>
        <color rgb="00176b32"/>
      </font>
      <fill>
        <patternFill patternType="solid">
          <fgColor rgb="00d7f5df"/>
          <bgColor rgb="00d7f5df"/>
        </patternFill>
      </fill>
    </dxf>
    <dxf>
      <font>
        <b val="1"/>
        <color rgb="006b7280"/>
      </font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9" customWidth="1" min="4" max="4"/>
    <col width="20" customWidth="1" min="5" max="5"/>
    <col width="60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30" customWidth="1" min="12" max="12"/>
  </cols>
  <sheetData>
    <row r="1">
      <c r="A1" s="1" t="inlineStr">
        <is>
          <t>2025 暑期 · 烟台威海</t>
        </is>
      </c>
    </row>
    <row r="2">
      <c r="A2" s="2" t="inlineStr">
        <is>
          <t>计划日期</t>
        </is>
      </c>
      <c r="B2" s="3" t="n">
        <v>45871</v>
      </c>
      <c r="C2" s="3" t="n">
        <v>45878</v>
      </c>
      <c r="D2" s="2" t="inlineStr">
        <is>
          <t>人数</t>
        </is>
      </c>
      <c r="F2" s="2" t="inlineStr">
        <is>
          <t>预计总消费</t>
        </is>
      </c>
      <c r="G2" s="4">
        <f>SUMIFS($I$5:$I$2000,$K$5:$K$2000,"&lt;&gt;已取消")</f>
        <v/>
      </c>
      <c r="H2" s="2" t="inlineStr">
        <is>
          <t>已付</t>
        </is>
      </c>
      <c r="I2" s="4">
        <f>SUMPRODUCT(SUMIFS($I$5:$I$2000,$K$5:$K$2000,{"已购买","已预约","已完成"}))</f>
        <v/>
      </c>
      <c r="J2" s="2" t="inlineStr">
        <is>
          <t>待付</t>
        </is>
      </c>
      <c r="K2" s="4">
        <f>SUMPRODUCT(SUMIFS($I$5:$I$2000,$K$5:$K$2000,{"待购买","待预约"}))</f>
        <v/>
      </c>
    </row>
    <row r="3">
      <c r="A3" s="2" t="inlineStr">
        <is>
          <t>备注</t>
        </is>
      </c>
      <c r="B3" s="5" t="n"/>
      <c r="J3" s="2" t="inlineStr">
        <is>
          <t>待办数</t>
        </is>
      </c>
      <c r="K3" s="4">
        <f>SUMPRODUCT(COUNTIFS($K$5:$K$2000,{"待购买","待预约"}))</f>
        <v/>
      </c>
    </row>
    <row r="4">
      <c r="A4" s="6" t="inlineStr">
        <is>
          <t>日期</t>
        </is>
      </c>
      <c r="B4" s="6" t="inlineStr">
        <is>
          <t>开始</t>
        </is>
      </c>
      <c r="C4" s="6" t="inlineStr">
        <is>
          <t>结束</t>
        </is>
      </c>
      <c r="D4" s="6" t="inlineStr">
        <is>
          <t>类型</t>
        </is>
      </c>
      <c r="E4" s="6" t="inlineStr">
        <is>
          <t>项目</t>
        </is>
      </c>
      <c r="F4" s="6" t="inlineStr">
        <is>
          <t>路线 / 备注</t>
        </is>
      </c>
      <c r="G4" s="6" t="inlineStr">
        <is>
          <t>单价</t>
        </is>
      </c>
      <c r="H4" s="6" t="inlineStr">
        <is>
          <t>数量</t>
        </is>
      </c>
      <c r="I4" s="6" t="inlineStr">
        <is>
          <t>消费</t>
        </is>
      </c>
      <c r="J4" s="6" t="inlineStr">
        <is>
          <t>开售 / 预约时间</t>
        </is>
      </c>
      <c r="K4" s="6" t="inlineStr">
        <is>
          <t>状态</t>
        </is>
      </c>
      <c r="L4" s="6" t="inlineStr">
        <is>
          <t>地点 / 地图关键词</t>
        </is>
      </c>
    </row>
    <row r="5">
      <c r="A5" s="7" t="n">
        <v>45871</v>
      </c>
      <c r="B5" s="8" t="inlineStr">
        <is>
          <t>苏州-济南</t>
        </is>
      </c>
    </row>
    <row r="6">
      <c r="A6" s="9" t="n">
        <v>45871</v>
      </c>
      <c r="B6" s="10" t="n">
        <v>0.2465277777777778</v>
      </c>
      <c r="C6" s="10" t="n">
        <v>0.2743055555555556</v>
      </c>
      <c r="D6" t="inlineStr">
        <is>
          <t>日常</t>
        </is>
      </c>
      <c r="E6" t="inlineStr">
        <is>
          <t>起床</t>
        </is>
      </c>
      <c r="F6" s="5" t="n"/>
      <c r="I6">
        <f>IF(OR(G6="",H6=""),"",G6*H6)</f>
        <v/>
      </c>
      <c r="K6" t="inlineStr">
        <is>
          <t>无需预订</t>
        </is>
      </c>
    </row>
    <row r="7">
      <c r="A7" s="9" t="n">
        <v>45871</v>
      </c>
      <c r="B7" s="10" t="n">
        <v>0.2777777777777778</v>
      </c>
      <c r="C7" s="10" t="n">
        <v>0.3020833333333333</v>
      </c>
      <c r="D7" t="inlineStr">
        <is>
          <t>交通</t>
        </is>
      </c>
      <c r="E7" t="inlineStr">
        <is>
          <t>打车</t>
        </is>
      </c>
      <c r="F7" s="5" t="inlineStr">
        <is>
          <t>菁源-苏州北</t>
        </is>
      </c>
      <c r="G7" t="n">
        <v>25</v>
      </c>
      <c r="H7" t="n">
        <v>1</v>
      </c>
      <c r="I7">
        <f>IF(OR(G7="",H7=""),"",G7*H7)</f>
        <v/>
      </c>
      <c r="K7" t="inlineStr">
        <is>
          <t>无需预订</t>
        </is>
      </c>
    </row>
    <row r="8">
      <c r="A8" s="9" t="n">
        <v>45871</v>
      </c>
      <c r="B8" s="10" t="n">
        <v>0.3159722222222222</v>
      </c>
      <c r="C8" s="10" t="n">
        <v>0.4541666666666667</v>
      </c>
      <c r="D8" t="inlineStr">
        <is>
          <t>交通</t>
        </is>
      </c>
      <c r="E8" t="inlineStr">
        <is>
          <t>高铁</t>
        </is>
      </c>
      <c r="F8" s="5" t="inlineStr">
        <is>
          <t>G230 苏州北-济南</t>
        </is>
      </c>
      <c r="G8" t="n">
        <v>398</v>
      </c>
      <c r="H8" t="n">
        <v>2</v>
      </c>
      <c r="I8">
        <f>IF(OR(G8="",H8=""),"",G8*H8)</f>
        <v/>
      </c>
      <c r="K8" t="inlineStr">
        <is>
          <t>已购买</t>
        </is>
      </c>
    </row>
    <row r="9">
      <c r="A9" s="9" t="n">
        <v>45871</v>
      </c>
      <c r="B9" s="10" t="n">
        <v>0.4652777777777778</v>
      </c>
      <c r="C9" s="10" t="n">
        <v>0.4826388888888889</v>
      </c>
      <c r="D9" t="inlineStr">
        <is>
          <t>交通</t>
        </is>
      </c>
      <c r="E9" t="inlineStr">
        <is>
          <t>打车</t>
        </is>
      </c>
      <c r="F9" s="5" t="n"/>
      <c r="G9" t="n">
        <v>30</v>
      </c>
      <c r="H9" t="n">
        <v>1</v>
      </c>
      <c r="I9">
        <f>IF(OR(G9="",H9=""),"",G9*H9)</f>
        <v/>
      </c>
      <c r="K9" t="inlineStr">
        <is>
          <t>无需预订</t>
        </is>
      </c>
    </row>
    <row r="10">
      <c r="A10" s="9" t="n">
        <v>45871</v>
      </c>
      <c r="B10" s="10" t="n">
        <v>0.4861111111111111</v>
      </c>
      <c r="C10" s="10" t="n">
        <v>0.5</v>
      </c>
      <c r="D10" t="inlineStr">
        <is>
          <t>住宿</t>
        </is>
      </c>
      <c r="E10" t="inlineStr">
        <is>
          <t>酒店入住</t>
        </is>
      </c>
      <c r="F10" s="5" t="inlineStr">
        <is>
          <t>桔子</t>
        </is>
      </c>
      <c r="G10" t="n">
        <v>261.18</v>
      </c>
      <c r="H10" t="n">
        <v>2</v>
      </c>
      <c r="I10">
        <f>IF(OR(G10="",H10=""),"",G10*H10)</f>
        <v/>
      </c>
      <c r="K10" t="inlineStr">
        <is>
          <t>已购买</t>
        </is>
      </c>
    </row>
    <row r="11">
      <c r="A11" s="7" t="n">
        <v>45872</v>
      </c>
      <c r="B11" s="8" t="inlineStr">
        <is>
          <t>济南</t>
        </is>
      </c>
    </row>
    <row r="12">
      <c r="A12" s="7" t="n">
        <v>45873</v>
      </c>
      <c r="B12" s="8" t="inlineStr">
        <is>
          <t>济南 烟台</t>
        </is>
      </c>
    </row>
    <row r="13">
      <c r="A13" s="9" t="n">
        <v>45873</v>
      </c>
      <c r="B13" s="10" t="n"/>
      <c r="C13" s="10" t="n"/>
      <c r="D13" t="inlineStr">
        <is>
          <t>日常</t>
        </is>
      </c>
      <c r="E13" t="inlineStr">
        <is>
          <t>起床</t>
        </is>
      </c>
      <c r="F13" s="5" t="n"/>
      <c r="I13">
        <f>IF(OR(G13="",H13=""),"",G13*H13)</f>
        <v/>
      </c>
      <c r="K13" t="inlineStr">
        <is>
          <t>无需预订</t>
        </is>
      </c>
    </row>
    <row r="14">
      <c r="A14" s="9" t="n">
        <v>45873</v>
      </c>
      <c r="B14" s="10" t="n">
        <v>0.4166666666666667</v>
      </c>
      <c r="C14" s="10" t="n">
        <v>0.4409722222222222</v>
      </c>
      <c r="D14" t="inlineStr">
        <is>
          <t>交通</t>
        </is>
      </c>
      <c r="E14" t="inlineStr">
        <is>
          <t>打车</t>
        </is>
      </c>
      <c r="F14" s="5" t="n"/>
      <c r="I14">
        <f>IF(OR(G14="",H14=""),"",G14*H14)</f>
        <v/>
      </c>
      <c r="K14" t="inlineStr">
        <is>
          <t>无需预订</t>
        </is>
      </c>
    </row>
    <row r="15">
      <c r="A15" s="9" t="n">
        <v>45873</v>
      </c>
      <c r="B15" s="10" t="n">
        <v>0.4631944444444445</v>
      </c>
      <c r="C15" s="10" t="n">
        <v>0.5625</v>
      </c>
      <c r="D15" t="inlineStr">
        <is>
          <t>交通</t>
        </is>
      </c>
      <c r="E15" t="inlineStr">
        <is>
          <t>高铁</t>
        </is>
      </c>
      <c r="F15" s="5" t="inlineStr">
        <is>
          <t>D8151济南东-烟台南</t>
        </is>
      </c>
      <c r="G15" t="n">
        <v>167</v>
      </c>
      <c r="H15" t="n">
        <v>2</v>
      </c>
      <c r="I15">
        <f>IF(OR(G15="",H15=""),"",G15*H15)</f>
        <v/>
      </c>
      <c r="K15" t="inlineStr">
        <is>
          <t>已购买</t>
        </is>
      </c>
    </row>
    <row r="16">
      <c r="A16" s="9" t="n">
        <v>45873</v>
      </c>
      <c r="B16" s="10" t="n"/>
      <c r="C16" s="10" t="n"/>
      <c r="D16" t="inlineStr">
        <is>
          <t>交通</t>
        </is>
      </c>
      <c r="E16" t="inlineStr">
        <is>
          <t>打车</t>
        </is>
      </c>
      <c r="F16" s="5" t="n"/>
      <c r="G16" t="n">
        <v>30</v>
      </c>
      <c r="I16">
        <f>IF(OR(G16="",H16=""),"",G16*H16)</f>
        <v/>
      </c>
      <c r="K16" t="inlineStr">
        <is>
          <t>无需预订</t>
        </is>
      </c>
    </row>
    <row r="17">
      <c r="A17" s="9" t="n">
        <v>45873</v>
      </c>
      <c r="B17" s="10" t="n"/>
      <c r="C17" s="10" t="n"/>
      <c r="D17" t="inlineStr">
        <is>
          <t>住宿</t>
        </is>
      </c>
      <c r="E17" t="inlineStr">
        <is>
          <t>酒店入住</t>
        </is>
      </c>
      <c r="F17" s="5" t="inlineStr">
        <is>
          <t>全季万达广场店</t>
        </is>
      </c>
      <c r="G17" t="n">
        <v>398.03</v>
      </c>
      <c r="H17" t="n">
        <v>1</v>
      </c>
      <c r="I17">
        <f>IF(OR(G17="",H17=""),"",G17*H17)</f>
        <v/>
      </c>
      <c r="K17" t="inlineStr">
        <is>
          <t>已购买</t>
        </is>
      </c>
    </row>
    <row r="18">
      <c r="A18" s="9" t="n">
        <v>45873</v>
      </c>
      <c r="B18" s="10" t="n"/>
      <c r="C18" s="10" t="n"/>
      <c r="D18" t="inlineStr">
        <is>
          <t>游览</t>
        </is>
      </c>
      <c r="E18" t="inlineStr">
        <is>
          <t>时光塔</t>
        </is>
      </c>
      <c r="F18" s="5" t="inlineStr">
        <is>
          <t>时光塔-步行800米到孤独的鲸</t>
        </is>
      </c>
      <c r="I18">
        <f>IF(OR(G18="",H18=""),"",G18*H18)</f>
        <v/>
      </c>
      <c r="K18" t="inlineStr">
        <is>
          <t>无需预订</t>
        </is>
      </c>
    </row>
    <row r="19">
      <c r="A19" s="9" t="n">
        <v>45873</v>
      </c>
      <c r="B19" s="10" t="n"/>
      <c r="C19" s="10" t="n"/>
      <c r="D19" t="inlineStr">
        <is>
          <t>游览</t>
        </is>
      </c>
      <c r="E19" t="inlineStr">
        <is>
          <t>孤独的鲸</t>
        </is>
      </c>
      <c r="F19" s="5" t="inlineStr">
        <is>
          <t>步行1000米到天空之约-打车到恋烟台礼堂</t>
        </is>
      </c>
      <c r="I19">
        <f>IF(OR(G19="",H19=""),"",G19*H19)</f>
        <v/>
      </c>
      <c r="K19" t="inlineStr">
        <is>
          <t>无需预订</t>
        </is>
      </c>
    </row>
    <row r="20">
      <c r="A20" s="9" t="n">
        <v>45873</v>
      </c>
      <c r="B20" s="10" t="n"/>
      <c r="C20" s="10" t="n"/>
      <c r="D20" t="inlineStr">
        <is>
          <t>游览</t>
        </is>
      </c>
      <c r="E20" t="inlineStr">
        <is>
          <t>天空之约</t>
        </is>
      </c>
      <c r="F20" s="5" t="inlineStr">
        <is>
          <t>-步行800米后沙广场-打车到烟台山</t>
        </is>
      </c>
      <c r="I20">
        <f>IF(OR(G20="",H20=""),"",G20*H20)</f>
        <v/>
      </c>
      <c r="K20" t="inlineStr">
        <is>
          <t>无需预订</t>
        </is>
      </c>
    </row>
    <row r="21">
      <c r="A21" s="9" t="n">
        <v>45873</v>
      </c>
      <c r="B21" s="10" t="n"/>
      <c r="C21" s="10" t="n"/>
      <c r="D21" t="inlineStr">
        <is>
          <t>游览</t>
        </is>
      </c>
      <c r="E21" t="inlineStr">
        <is>
          <t>恋烟台礼堂</t>
        </is>
      </c>
      <c r="F21" s="5" t="inlineStr">
        <is>
          <t>步行至朝阳街-所城里</t>
        </is>
      </c>
      <c r="I21">
        <f>IF(OR(G21="",H21=""),"",G21*H21)</f>
        <v/>
      </c>
      <c r="K21" t="inlineStr">
        <is>
          <t>无需预订</t>
        </is>
      </c>
    </row>
    <row r="22">
      <c r="A22" s="9" t="n">
        <v>45873</v>
      </c>
      <c r="B22" s="10" t="n"/>
      <c r="C22" s="10" t="n"/>
      <c r="D22" t="inlineStr">
        <is>
          <t>餐饮</t>
        </is>
      </c>
      <c r="E22" t="inlineStr">
        <is>
          <t>晚餐</t>
        </is>
      </c>
      <c r="F22" s="5" t="inlineStr">
        <is>
          <t>点外卖或者路上随便</t>
        </is>
      </c>
      <c r="I22">
        <f>IF(OR(G22="",H22=""),"",G22*H22)</f>
        <v/>
      </c>
      <c r="K22" t="inlineStr">
        <is>
          <t>无需预订</t>
        </is>
      </c>
    </row>
    <row r="23">
      <c r="A23" s="7" t="n">
        <v>45874</v>
      </c>
      <c r="B23" s="8" t="inlineStr">
        <is>
          <t>烟台 威海</t>
        </is>
      </c>
    </row>
    <row r="24">
      <c r="A24" s="9" t="n">
        <v>45874</v>
      </c>
      <c r="B24" s="10" t="n"/>
      <c r="C24" s="10" t="n"/>
      <c r="D24" t="inlineStr">
        <is>
          <t>餐饮</t>
        </is>
      </c>
      <c r="E24" t="inlineStr">
        <is>
          <t>早餐</t>
        </is>
      </c>
      <c r="F24" s="5" t="inlineStr">
        <is>
          <t>酒店免费</t>
        </is>
      </c>
      <c r="I24">
        <f>IF(OR(G24="",H24=""),"",G24*H24)</f>
        <v/>
      </c>
      <c r="K24" t="inlineStr">
        <is>
          <t>无需预订</t>
        </is>
      </c>
    </row>
    <row r="25">
      <c r="A25" s="9" t="n">
        <v>45874</v>
      </c>
      <c r="B25" s="10" t="n"/>
      <c r="C25" s="10" t="n"/>
      <c r="D25" t="inlineStr">
        <is>
          <t>游览</t>
        </is>
      </c>
      <c r="E25" t="inlineStr">
        <is>
          <t>东山栈桥</t>
        </is>
      </c>
      <c r="F25" s="5" t="n"/>
      <c r="I25">
        <f>IF(OR(G25="",H25=""),"",G25*H25)</f>
        <v/>
      </c>
      <c r="K25" t="inlineStr">
        <is>
          <t>无需预订</t>
        </is>
      </c>
    </row>
    <row r="26">
      <c r="A26" s="9" t="n">
        <v>45874</v>
      </c>
      <c r="B26" s="10" t="n"/>
      <c r="C26" s="10" t="n"/>
      <c r="D26" t="inlineStr">
        <is>
          <t>游览</t>
        </is>
      </c>
      <c r="E26" t="inlineStr">
        <is>
          <t>渔人码头</t>
        </is>
      </c>
      <c r="F26" s="5" t="n"/>
      <c r="I26">
        <f>IF(OR(G26="",H26=""),"",G26*H26)</f>
        <v/>
      </c>
      <c r="K26" t="inlineStr">
        <is>
          <t>无需预订</t>
        </is>
      </c>
    </row>
    <row r="27">
      <c r="A27" s="9" t="n">
        <v>45874</v>
      </c>
      <c r="B27" s="10" t="n"/>
      <c r="C27" s="10" t="n"/>
      <c r="D27" t="inlineStr">
        <is>
          <t>游览</t>
        </is>
      </c>
      <c r="E27" t="inlineStr">
        <is>
          <t>滨海中路</t>
        </is>
      </c>
      <c r="F27" s="5" t="n"/>
      <c r="I27">
        <f>IF(OR(G27="",H27=""),"",G27*H27)</f>
        <v/>
      </c>
      <c r="K27" t="inlineStr">
        <is>
          <t>无需预订</t>
        </is>
      </c>
    </row>
    <row r="28">
      <c r="A28" s="9" t="n">
        <v>45874</v>
      </c>
      <c r="B28" s="10" t="n"/>
      <c r="C28" s="10" t="n"/>
      <c r="D28" t="inlineStr">
        <is>
          <t>游览</t>
        </is>
      </c>
      <c r="E28" t="inlineStr">
        <is>
          <t>养马岛</t>
        </is>
      </c>
      <c r="F28" s="5" t="n"/>
      <c r="I28">
        <f>IF(OR(G28="",H28=""),"",G28*H28)</f>
        <v/>
      </c>
      <c r="K28" t="inlineStr">
        <is>
          <t>无需预订</t>
        </is>
      </c>
    </row>
    <row r="29">
      <c r="A29" s="9" t="n">
        <v>45874</v>
      </c>
      <c r="B29" s="10" t="n"/>
      <c r="C29" s="10" t="n"/>
      <c r="D29" t="inlineStr">
        <is>
          <t>交通</t>
        </is>
      </c>
      <c r="E29" t="inlineStr">
        <is>
          <t>高铁</t>
        </is>
      </c>
      <c r="F29" s="5" t="n"/>
      <c r="G29" t="n">
        <v>20</v>
      </c>
      <c r="H29" t="n">
        <v>2</v>
      </c>
      <c r="I29">
        <f>IF(OR(G29="",H29=""),"",G29*H29)</f>
        <v/>
      </c>
      <c r="K29" t="inlineStr">
        <is>
          <t>无需预订</t>
        </is>
      </c>
    </row>
    <row r="30">
      <c r="A30" s="9" t="n">
        <v>45874</v>
      </c>
      <c r="B30" s="10" t="n"/>
      <c r="C30" s="10" t="n"/>
      <c r="D30" t="inlineStr">
        <is>
          <t>住宿</t>
        </is>
      </c>
      <c r="E30" t="inlineStr">
        <is>
          <t>如家neo 威海昆明路威高广场幸福门店</t>
        </is>
      </c>
      <c r="F30" s="5" t="n"/>
      <c r="G30" t="n">
        <v>328</v>
      </c>
      <c r="H30" t="n">
        <v>2</v>
      </c>
      <c r="I30">
        <f>IF(OR(G30="",H30=""),"",G30*H30)</f>
        <v/>
      </c>
      <c r="K30" t="inlineStr">
        <is>
          <t>已购买</t>
        </is>
      </c>
    </row>
    <row r="31">
      <c r="A31" s="7" t="n">
        <v>45875</v>
      </c>
      <c r="B31" s="8" t="inlineStr">
        <is>
          <t>威海</t>
        </is>
      </c>
    </row>
    <row r="32">
      <c r="A32" s="7" t="n">
        <v>45876</v>
      </c>
      <c r="B32" s="8" t="inlineStr">
        <is>
          <t>威海 济南/泰安</t>
        </is>
      </c>
    </row>
    <row r="33">
      <c r="A33" s="7" t="n">
        <v>45878</v>
      </c>
      <c r="B33" s="8" t="inlineStr">
        <is>
          <t>济南</t>
        </is>
      </c>
    </row>
  </sheetData>
  <mergeCells count="9">
    <mergeCell ref="B12:L12"/>
    <mergeCell ref="B33:L33"/>
    <mergeCell ref="A1:L1"/>
    <mergeCell ref="B11:L11"/>
    <mergeCell ref="B5:L5"/>
    <mergeCell ref="B3:I3"/>
    <mergeCell ref="B32:L32"/>
    <mergeCell ref="B31:L31"/>
    <mergeCell ref="B23:L23"/>
  </mergeCells>
  <conditionalFormatting sqref="D5:D2000">
    <cfRule type="cellIs" priority="1" operator="equal" dxfId="0">
      <formula>"交通"</formula>
    </cfRule>
    <cfRule type="cellIs" priority="2" operator="equal" dxfId="1">
      <formula>"住宿"</formula>
    </cfRule>
    <cfRule type="cellIs" priority="3" operator="equal" dxfId="2">
      <formula>"游览"</formula>
    </cfRule>
    <cfRule type="cellIs" priority="4" operator="equal" dxfId="3">
      <formula>"餐饮"</formula>
    </cfRule>
    <cfRule type="cellIs" priority="5" operator="equal" dxfId="4">
      <formula>"日常"</formula>
    </cfRule>
    <cfRule type="cellIs" priority="6" operator="equal" dxfId="5">
      <formula>"购物"</formula>
    </cfRule>
    <cfRule type="cellIs" priority="7" operator="equal" dxfId="6">
      <formula>"其他"</formula>
    </cfRule>
  </conditionalFormatting>
  <conditionalFormatting sqref="K5:K2000">
    <cfRule type="cellIs" priority="8" operator="equal" dxfId="7">
      <formula>"无需预订"</formula>
    </cfRule>
    <cfRule type="cellIs" priority="9" operator="equal" dxfId="8">
      <formula>"待购买"</formula>
    </cfRule>
    <cfRule type="cellIs" priority="10" operator="equal" dxfId="8">
      <formula>"待预约"</formula>
    </cfRule>
    <cfRule type="cellIs" priority="11" operator="equal" dxfId="9">
      <formula>"已购买"</formula>
    </cfRule>
    <cfRule type="cellIs" priority="12" operator="equal" dxfId="9">
      <formula>"已预约"</formula>
    </cfRule>
    <cfRule type="cellIs" priority="13" operator="equal" dxfId="9">
      <formula>"已完成"</formula>
    </cfRule>
    <cfRule type="cellIs" priority="14" operator="equal" dxfId="10">
      <formula>"已取消"</formula>
    </cfRule>
  </conditionalFormatting>
  <dataValidations count="3">
    <dataValidation sqref="B5:C2000" showDropDown="0" showInputMessage="0" showErrorMessage="0" allowBlank="0" type="list">
      <formula1>_lists!$A$1:$A$144</formula1>
    </dataValidation>
    <dataValidation sqref="D5:D2000" showDropDown="0" showInputMessage="0" showErrorMessage="0" allowBlank="1" type="list">
      <formula1>_lists!$B$1:$B$7</formula1>
    </dataValidation>
    <dataValidation sqref="K5:K2000" showDropDown="0" showInputMessage="0" showErrorMessage="0" allowBlank="1" type="list">
      <formula1>_lists!$C$1:$C$7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0" t="n">
        <v>0</v>
      </c>
      <c r="B1" t="inlineStr">
        <is>
          <t>交通</t>
        </is>
      </c>
      <c r="C1" t="inlineStr">
        <is>
          <t>无需预订</t>
        </is>
      </c>
    </row>
    <row r="2">
      <c r="A2" s="10" t="n">
        <v>0.006944444444444444</v>
      </c>
      <c r="B2" t="inlineStr">
        <is>
          <t>住宿</t>
        </is>
      </c>
      <c r="C2" t="inlineStr">
        <is>
          <t>待购买</t>
        </is>
      </c>
    </row>
    <row r="3">
      <c r="A3" s="10" t="n">
        <v>0.01388888888888889</v>
      </c>
      <c r="B3" t="inlineStr">
        <is>
          <t>游览</t>
        </is>
      </c>
      <c r="C3" t="inlineStr">
        <is>
          <t>待预约</t>
        </is>
      </c>
    </row>
    <row r="4">
      <c r="A4" s="10" t="n">
        <v>0.02083333333333333</v>
      </c>
      <c r="B4" t="inlineStr">
        <is>
          <t>餐饮</t>
        </is>
      </c>
      <c r="C4" t="inlineStr">
        <is>
          <t>已购买</t>
        </is>
      </c>
    </row>
    <row r="5">
      <c r="A5" s="10" t="n">
        <v>0.02777777777777778</v>
      </c>
      <c r="B5" t="inlineStr">
        <is>
          <t>日常</t>
        </is>
      </c>
      <c r="C5" t="inlineStr">
        <is>
          <t>已预约</t>
        </is>
      </c>
    </row>
    <row r="6">
      <c r="A6" s="10" t="n">
        <v>0.03472222222222222</v>
      </c>
      <c r="B6" t="inlineStr">
        <is>
          <t>购物</t>
        </is>
      </c>
      <c r="C6" t="inlineStr">
        <is>
          <t>已完成</t>
        </is>
      </c>
    </row>
    <row r="7">
      <c r="A7" s="10" t="n">
        <v>0.04166666666666666</v>
      </c>
      <c r="B7" t="inlineStr">
        <is>
          <t>其他</t>
        </is>
      </c>
      <c r="C7" t="inlineStr">
        <is>
          <t>已取消</t>
        </is>
      </c>
    </row>
    <row r="8">
      <c r="A8" s="10" t="n">
        <v>0.04861111111111111</v>
      </c>
    </row>
    <row r="9">
      <c r="A9" s="10" t="n">
        <v>0.05555555555555555</v>
      </c>
    </row>
    <row r="10">
      <c r="A10" s="10" t="n">
        <v>0.0625</v>
      </c>
    </row>
    <row r="11">
      <c r="A11" s="10" t="n">
        <v>0.06944444444444445</v>
      </c>
    </row>
    <row r="12">
      <c r="A12" s="10" t="n">
        <v>0.0763888888888889</v>
      </c>
    </row>
    <row r="13">
      <c r="A13" s="10" t="n">
        <v>0.08333333333333333</v>
      </c>
    </row>
    <row r="14">
      <c r="A14" s="10" t="n">
        <v>0.09027777777777778</v>
      </c>
    </row>
    <row r="15">
      <c r="A15" s="10" t="n">
        <v>0.09722222222222222</v>
      </c>
    </row>
    <row r="16">
      <c r="A16" s="10" t="n">
        <v>0.1041666666666667</v>
      </c>
    </row>
    <row r="17">
      <c r="A17" s="10" t="n">
        <v>0.1111111111111111</v>
      </c>
    </row>
    <row r="18">
      <c r="A18" s="10" t="n">
        <v>0.1180555555555556</v>
      </c>
    </row>
    <row r="19">
      <c r="A19" s="10" t="n">
        <v>0.125</v>
      </c>
    </row>
    <row r="20">
      <c r="A20" s="10" t="n">
        <v>0.1319444444444444</v>
      </c>
    </row>
    <row r="21">
      <c r="A21" s="10" t="n">
        <v>0.1388888888888889</v>
      </c>
    </row>
    <row r="22">
      <c r="A22" s="10" t="n">
        <v>0.1458333333333333</v>
      </c>
    </row>
    <row r="23">
      <c r="A23" s="10" t="n">
        <v>0.1527777777777778</v>
      </c>
    </row>
    <row r="24">
      <c r="A24" s="10" t="n">
        <v>0.1597222222222222</v>
      </c>
    </row>
    <row r="25">
      <c r="A25" s="10" t="n">
        <v>0.1666666666666667</v>
      </c>
    </row>
    <row r="26">
      <c r="A26" s="10" t="n">
        <v>0.1736111111111111</v>
      </c>
    </row>
    <row r="27">
      <c r="A27" s="10" t="n">
        <v>0.1805555555555556</v>
      </c>
    </row>
    <row r="28">
      <c r="A28" s="10" t="n">
        <v>0.1875</v>
      </c>
    </row>
    <row r="29">
      <c r="A29" s="10" t="n">
        <v>0.1944444444444444</v>
      </c>
    </row>
    <row r="30">
      <c r="A30" s="10" t="n">
        <v>0.2013888888888889</v>
      </c>
    </row>
    <row r="31">
      <c r="A31" s="10" t="n">
        <v>0.2083333333333333</v>
      </c>
    </row>
    <row r="32">
      <c r="A32" s="10" t="n">
        <v>0.2152777777777778</v>
      </c>
    </row>
    <row r="33">
      <c r="A33" s="10" t="n">
        <v>0.2222222222222222</v>
      </c>
    </row>
    <row r="34">
      <c r="A34" s="10" t="n">
        <v>0.2291666666666667</v>
      </c>
    </row>
    <row r="35">
      <c r="A35" s="10" t="n">
        <v>0.2361111111111111</v>
      </c>
    </row>
    <row r="36">
      <c r="A36" s="10" t="n">
        <v>0.2430555555555556</v>
      </c>
    </row>
    <row r="37">
      <c r="A37" s="10" t="n">
        <v>0.25</v>
      </c>
    </row>
    <row r="38">
      <c r="A38" s="10" t="n">
        <v>0.2569444444444444</v>
      </c>
    </row>
    <row r="39">
      <c r="A39" s="10" t="n">
        <v>0.2638888888888889</v>
      </c>
    </row>
    <row r="40">
      <c r="A40" s="10" t="n">
        <v>0.2708333333333333</v>
      </c>
    </row>
    <row r="41">
      <c r="A41" s="10" t="n">
        <v>0.2777777777777778</v>
      </c>
    </row>
    <row r="42">
      <c r="A42" s="10" t="n">
        <v>0.2847222222222222</v>
      </c>
    </row>
    <row r="43">
      <c r="A43" s="10" t="n">
        <v>0.2916666666666667</v>
      </c>
    </row>
    <row r="44">
      <c r="A44" s="10" t="n">
        <v>0.2986111111111111</v>
      </c>
    </row>
    <row r="45">
      <c r="A45" s="10" t="n">
        <v>0.3055555555555556</v>
      </c>
    </row>
    <row r="46">
      <c r="A46" s="10" t="n">
        <v>0.3125</v>
      </c>
    </row>
    <row r="47">
      <c r="A47" s="10" t="n">
        <v>0.3194444444444444</v>
      </c>
    </row>
    <row r="48">
      <c r="A48" s="10" t="n">
        <v>0.3263888888888889</v>
      </c>
    </row>
    <row r="49">
      <c r="A49" s="10" t="n">
        <v>0.3333333333333333</v>
      </c>
    </row>
    <row r="50">
      <c r="A50" s="10" t="n">
        <v>0.3402777777777778</v>
      </c>
    </row>
    <row r="51">
      <c r="A51" s="10" t="n">
        <v>0.3472222222222222</v>
      </c>
    </row>
    <row r="52">
      <c r="A52" s="10" t="n">
        <v>0.3541666666666667</v>
      </c>
    </row>
    <row r="53">
      <c r="A53" s="10" t="n">
        <v>0.3611111111111111</v>
      </c>
    </row>
    <row r="54">
      <c r="A54" s="10" t="n">
        <v>0.3680555555555556</v>
      </c>
    </row>
    <row r="55">
      <c r="A55" s="10" t="n">
        <v>0.375</v>
      </c>
    </row>
    <row r="56">
      <c r="A56" s="10" t="n">
        <v>0.3819444444444444</v>
      </c>
    </row>
    <row r="57">
      <c r="A57" s="10" t="n">
        <v>0.3888888888888889</v>
      </c>
    </row>
    <row r="58">
      <c r="A58" s="10" t="n">
        <v>0.3958333333333333</v>
      </c>
    </row>
    <row r="59">
      <c r="A59" s="10" t="n">
        <v>0.4027777777777778</v>
      </c>
    </row>
    <row r="60">
      <c r="A60" s="10" t="n">
        <v>0.4097222222222222</v>
      </c>
    </row>
    <row r="61">
      <c r="A61" s="10" t="n">
        <v>0.4166666666666667</v>
      </c>
    </row>
    <row r="62">
      <c r="A62" s="10" t="n">
        <v>0.4236111111111111</v>
      </c>
    </row>
    <row r="63">
      <c r="A63" s="10" t="n">
        <v>0.4305555555555556</v>
      </c>
    </row>
    <row r="64">
      <c r="A64" s="10" t="n">
        <v>0.4375</v>
      </c>
    </row>
    <row r="65">
      <c r="A65" s="10" t="n">
        <v>0.4444444444444444</v>
      </c>
    </row>
    <row r="66">
      <c r="A66" s="10" t="n">
        <v>0.4513888888888889</v>
      </c>
    </row>
    <row r="67">
      <c r="A67" s="10" t="n">
        <v>0.4583333333333333</v>
      </c>
    </row>
    <row r="68">
      <c r="A68" s="10" t="n">
        <v>0.4652777777777778</v>
      </c>
    </row>
    <row r="69">
      <c r="A69" s="10" t="n">
        <v>0.4722222222222222</v>
      </c>
    </row>
    <row r="70">
      <c r="A70" s="10" t="n">
        <v>0.4791666666666667</v>
      </c>
    </row>
    <row r="71">
      <c r="A71" s="10" t="n">
        <v>0.4861111111111111</v>
      </c>
    </row>
    <row r="72">
      <c r="A72" s="10" t="n">
        <v>0.4930555555555556</v>
      </c>
    </row>
    <row r="73">
      <c r="A73" s="10" t="n">
        <v>0.5</v>
      </c>
    </row>
    <row r="74">
      <c r="A74" s="10" t="n">
        <v>0.5069444444444444</v>
      </c>
    </row>
    <row r="75">
      <c r="A75" s="10" t="n">
        <v>0.5138888888888888</v>
      </c>
    </row>
    <row r="76">
      <c r="A76" s="10" t="n">
        <v>0.5208333333333334</v>
      </c>
    </row>
    <row r="77">
      <c r="A77" s="10" t="n">
        <v>0.5277777777777778</v>
      </c>
    </row>
    <row r="78">
      <c r="A78" s="10" t="n">
        <v>0.5347222222222222</v>
      </c>
    </row>
    <row r="79">
      <c r="A79" s="10" t="n">
        <v>0.5416666666666666</v>
      </c>
    </row>
    <row r="80">
      <c r="A80" s="10" t="n">
        <v>0.5486111111111112</v>
      </c>
    </row>
    <row r="81">
      <c r="A81" s="10" t="n">
        <v>0.5555555555555556</v>
      </c>
    </row>
    <row r="82">
      <c r="A82" s="10" t="n">
        <v>0.5625</v>
      </c>
    </row>
    <row r="83">
      <c r="A83" s="10" t="n">
        <v>0.5694444444444444</v>
      </c>
    </row>
    <row r="84">
      <c r="A84" s="10" t="n">
        <v>0.5763888888888888</v>
      </c>
    </row>
    <row r="85">
      <c r="A85" s="10" t="n">
        <v>0.5833333333333334</v>
      </c>
    </row>
    <row r="86">
      <c r="A86" s="10" t="n">
        <v>0.5902777777777778</v>
      </c>
    </row>
    <row r="87">
      <c r="A87" s="10" t="n">
        <v>0.5972222222222222</v>
      </c>
    </row>
    <row r="88">
      <c r="A88" s="10" t="n">
        <v>0.6041666666666666</v>
      </c>
    </row>
    <row r="89">
      <c r="A89" s="10" t="n">
        <v>0.6111111111111112</v>
      </c>
    </row>
    <row r="90">
      <c r="A90" s="10" t="n">
        <v>0.6180555555555556</v>
      </c>
    </row>
    <row r="91">
      <c r="A91" s="10" t="n">
        <v>0.625</v>
      </c>
    </row>
    <row r="92">
      <c r="A92" s="10" t="n">
        <v>0.6319444444444444</v>
      </c>
    </row>
    <row r="93">
      <c r="A93" s="10" t="n">
        <v>0.6388888888888888</v>
      </c>
    </row>
    <row r="94">
      <c r="A94" s="10" t="n">
        <v>0.6458333333333334</v>
      </c>
    </row>
    <row r="95">
      <c r="A95" s="10" t="n">
        <v>0.6527777777777778</v>
      </c>
    </row>
    <row r="96">
      <c r="A96" s="10" t="n">
        <v>0.6597222222222222</v>
      </c>
    </row>
    <row r="97">
      <c r="A97" s="10" t="n">
        <v>0.6666666666666666</v>
      </c>
    </row>
    <row r="98">
      <c r="A98" s="10" t="n">
        <v>0.6736111111111112</v>
      </c>
    </row>
    <row r="99">
      <c r="A99" s="10" t="n">
        <v>0.6805555555555556</v>
      </c>
    </row>
    <row r="100">
      <c r="A100" s="10" t="n">
        <v>0.6875</v>
      </c>
    </row>
    <row r="101">
      <c r="A101" s="10" t="n">
        <v>0.6944444444444444</v>
      </c>
    </row>
    <row r="102">
      <c r="A102" s="10" t="n">
        <v>0.7013888888888888</v>
      </c>
    </row>
    <row r="103">
      <c r="A103" s="10" t="n">
        <v>0.7083333333333334</v>
      </c>
    </row>
    <row r="104">
      <c r="A104" s="10" t="n">
        <v>0.7152777777777778</v>
      </c>
    </row>
    <row r="105">
      <c r="A105" s="10" t="n">
        <v>0.7222222222222222</v>
      </c>
    </row>
    <row r="106">
      <c r="A106" s="10" t="n">
        <v>0.7291666666666666</v>
      </c>
    </row>
    <row r="107">
      <c r="A107" s="10" t="n">
        <v>0.7361111111111112</v>
      </c>
    </row>
    <row r="108">
      <c r="A108" s="10" t="n">
        <v>0.7430555555555556</v>
      </c>
    </row>
    <row r="109">
      <c r="A109" s="10" t="n">
        <v>0.75</v>
      </c>
    </row>
    <row r="110">
      <c r="A110" s="10" t="n">
        <v>0.7569444444444444</v>
      </c>
    </row>
    <row r="111">
      <c r="A111" s="10" t="n">
        <v>0.7638888888888888</v>
      </c>
    </row>
    <row r="112">
      <c r="A112" s="10" t="n">
        <v>0.7708333333333334</v>
      </c>
    </row>
    <row r="113">
      <c r="A113" s="10" t="n">
        <v>0.7777777777777778</v>
      </c>
    </row>
    <row r="114">
      <c r="A114" s="10" t="n">
        <v>0.7847222222222222</v>
      </c>
    </row>
    <row r="115">
      <c r="A115" s="10" t="n">
        <v>0.7916666666666666</v>
      </c>
    </row>
    <row r="116">
      <c r="A116" s="10" t="n">
        <v>0.7986111111111112</v>
      </c>
    </row>
    <row r="117">
      <c r="A117" s="10" t="n">
        <v>0.8055555555555556</v>
      </c>
    </row>
    <row r="118">
      <c r="A118" s="10" t="n">
        <v>0.8125</v>
      </c>
    </row>
    <row r="119">
      <c r="A119" s="10" t="n">
        <v>0.8194444444444444</v>
      </c>
    </row>
    <row r="120">
      <c r="A120" s="10" t="n">
        <v>0.8263888888888888</v>
      </c>
    </row>
    <row r="121">
      <c r="A121" s="10" t="n">
        <v>0.8333333333333334</v>
      </c>
    </row>
    <row r="122">
      <c r="A122" s="10" t="n">
        <v>0.8402777777777778</v>
      </c>
    </row>
    <row r="123">
      <c r="A123" s="10" t="n">
        <v>0.8472222222222222</v>
      </c>
    </row>
    <row r="124">
      <c r="A124" s="10" t="n">
        <v>0.8541666666666666</v>
      </c>
    </row>
    <row r="125">
      <c r="A125" s="10" t="n">
        <v>0.8611111111111112</v>
      </c>
    </row>
    <row r="126">
      <c r="A126" s="10" t="n">
        <v>0.8680555555555556</v>
      </c>
    </row>
    <row r="127">
      <c r="A127" s="10" t="n">
        <v>0.875</v>
      </c>
    </row>
    <row r="128">
      <c r="A128" s="10" t="n">
        <v>0.8819444444444444</v>
      </c>
    </row>
    <row r="129">
      <c r="A129" s="10" t="n">
        <v>0.8888888888888888</v>
      </c>
    </row>
    <row r="130">
      <c r="A130" s="10" t="n">
        <v>0.8958333333333334</v>
      </c>
    </row>
    <row r="131">
      <c r="A131" s="10" t="n">
        <v>0.9027777777777778</v>
      </c>
    </row>
    <row r="132">
      <c r="A132" s="10" t="n">
        <v>0.9097222222222222</v>
      </c>
    </row>
    <row r="133">
      <c r="A133" s="10" t="n">
        <v>0.9166666666666666</v>
      </c>
    </row>
    <row r="134">
      <c r="A134" s="10" t="n">
        <v>0.9236111111111112</v>
      </c>
    </row>
    <row r="135">
      <c r="A135" s="10" t="n">
        <v>0.9305555555555556</v>
      </c>
    </row>
    <row r="136">
      <c r="A136" s="10" t="n">
        <v>0.9375</v>
      </c>
    </row>
    <row r="137">
      <c r="A137" s="10" t="n">
        <v>0.9444444444444444</v>
      </c>
    </row>
    <row r="138">
      <c r="A138" s="10" t="n">
        <v>0.9513888888888888</v>
      </c>
    </row>
    <row r="139">
      <c r="A139" s="10" t="n">
        <v>0.9583333333333334</v>
      </c>
    </row>
    <row r="140">
      <c r="A140" s="10" t="n">
        <v>0.9652777777777778</v>
      </c>
    </row>
    <row r="141">
      <c r="A141" s="10" t="n">
        <v>0.9722222222222222</v>
      </c>
    </row>
    <row r="142">
      <c r="A142" s="10" t="n">
        <v>0.9791666666666666</v>
      </c>
    </row>
    <row r="143">
      <c r="A143" s="10" t="n">
        <v>0.9861111111111112</v>
      </c>
    </row>
    <row r="144">
      <c r="A144" s="10" t="n">
        <v>0.9930555555555556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digest</t>
        </is>
      </c>
      <c r="B1" t="inlineStr">
        <is>
          <t>468c5de9355629bab7ce2097fe5ee5f7cac34c7f87773919514c80595bb7e73b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
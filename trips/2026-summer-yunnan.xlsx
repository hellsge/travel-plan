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盛夏 · 上海深圳香港昆明大理轻松旅行计划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meta" sheetId="3" state="hidden" r:id="rId3"/>
  </sheets>
  <definedNames>
    <definedName name="_xlnm.Print_Titles" localSheetId="0">'2026 盛夏 · 上海深圳香港昆明大理轻松旅行计划'!$4:$4</definedName>
    <definedName name="_xlnm.Print_Area" localSheetId="0">'2026 盛夏 · 上海深圳香港昆明大理轻松旅行计划'!$A$1:$L$80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[$-804]mm-dd aaa"/>
    <numFmt numFmtId="166" formatCode="mm-dd"/>
    <numFmt numFmtId="167" formatCode="hh:mm"/>
    <numFmt numFmtId="168" formatCode="yyyy-mm-dd h:mm:ss"/>
    <numFmt numFmtId="169" formatCode="yyyy-mm-dd hh:mm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color rgb="001f3a68"/>
    </font>
    <font>
      <color rgb="0098a2b3"/>
    </font>
  </fonts>
  <fills count="4">
    <fill>
      <patternFill/>
    </fill>
    <fill>
      <patternFill patternType="gray125"/>
    </fill>
    <fill>
      <patternFill patternType="solid">
        <fgColor rgb="00344054"/>
        <bgColor rgb="00344054"/>
      </patternFill>
    </fill>
    <fill>
      <patternFill patternType="solid">
        <fgColor rgb="00dbe7f5"/>
        <bgColor rgb="00db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165" fontId="4" fillId="3" borderId="0" pivotButton="0" quotePrefix="0" xfId="0"/>
    <xf numFmtId="0" fontId="4" fillId="3" borderId="0" pivotButton="0" quotePrefix="0" xfId="0"/>
    <xf numFmtId="166" fontId="5" fillId="0" borderId="0" pivotButton="0" quotePrefix="0" xfId="0"/>
    <xf numFmtId="167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11">
    <dxf>
      <font>
        <b val="1"/>
        <color rgb="002673d9"/>
      </font>
      <fill>
        <patternFill patternType="solid">
          <fgColor rgb="00e1ebfa"/>
          <bgColor rgb="00e1ebfa"/>
        </patternFill>
      </fill>
    </dxf>
    <dxf>
      <font>
        <b val="1"/>
        <color rgb="007c4dcc"/>
      </font>
      <fill>
        <patternFill patternType="solid">
          <fgColor rgb="00ede6f8"/>
          <bgColor rgb="00ede6f8"/>
        </patternFill>
      </fill>
    </dxf>
    <dxf>
      <font>
        <b val="1"/>
        <color rgb="00219653"/>
      </font>
      <fill>
        <patternFill patternType="solid">
          <fgColor rgb="00e0f0e7"/>
          <bgColor rgb="00e0f0e7"/>
        </patternFill>
      </fill>
    </dxf>
    <dxf>
      <font>
        <b val="1"/>
        <color rgb="00dc7318"/>
      </font>
      <fill>
        <patternFill patternType="solid">
          <fgColor rgb="00faebdf"/>
          <bgColor rgb="00faebdf"/>
        </patternFill>
      </fill>
    </dxf>
    <dxf>
      <font>
        <b val="1"/>
        <color rgb="00667085"/>
      </font>
      <fill>
        <patternFill patternType="solid">
          <fgColor rgb="00eaebee"/>
          <bgColor rgb="00eaebee"/>
        </patternFill>
      </fill>
    </dxf>
    <dxf>
      <font>
        <b val="1"/>
        <color rgb="00d94f8a"/>
      </font>
      <fill>
        <patternFill patternType="solid">
          <fgColor rgb="00fae6ef"/>
          <bgColor rgb="00fae6ef"/>
        </patternFill>
      </fill>
    </dxf>
    <dxf>
      <font>
        <b val="1"/>
        <color rgb="0080685b"/>
      </font>
      <fill>
        <patternFill patternType="solid">
          <fgColor rgb="00edeae8"/>
          <bgColor rgb="00edeae8"/>
        </patternFill>
      </fill>
    </dxf>
    <dxf>
      <font>
        <b val="1"/>
        <color rgb="00475467"/>
      </font>
      <fill>
        <patternFill patternType="solid">
          <fgColor rgb="00eef2f6"/>
          <bgColor rgb="00eef2f6"/>
        </patternFill>
      </fill>
    </dxf>
    <dxf>
      <font>
        <b val="1"/>
        <color rgb="00704d00"/>
      </font>
      <fill>
        <patternFill patternType="solid">
          <fgColor rgb="00fef0b8"/>
          <bgColor rgb="00fef0b8"/>
        </patternFill>
      </fill>
    </dxf>
    <dxf>
      <font>
        <b val="1"/>
        <color rgb="00176b32"/>
      </font>
      <fill>
        <patternFill patternType="solid">
          <fgColor rgb="00d7f5df"/>
          <bgColor rgb="00d7f5df"/>
        </patternFill>
      </fill>
    </dxf>
    <dxf>
      <font>
        <b val="1"/>
        <color rgb="006b7280"/>
      </font>
      <fill>
        <patternFill patternType="solid">
          <fgColor rgb="00e5e7eb"/>
          <b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9" customWidth="1" min="4" max="4"/>
    <col width="20" customWidth="1" min="5" max="5"/>
    <col width="60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30" customWidth="1" min="12" max="12"/>
  </cols>
  <sheetData>
    <row r="1">
      <c r="A1" s="1" t="inlineStr">
        <is>
          <t>2026 盛夏 · 上海深圳香港昆明大理轻松旅行计划</t>
        </is>
      </c>
    </row>
    <row r="2">
      <c r="A2" s="2" t="inlineStr">
        <is>
          <t>计划日期</t>
        </is>
      </c>
      <c r="B2" s="3" t="n">
        <v>46236</v>
      </c>
      <c r="C2" s="3" t="n">
        <v>46242</v>
      </c>
      <c r="D2" s="2" t="inlineStr">
        <is>
          <t>人数</t>
        </is>
      </c>
      <c r="E2" t="n">
        <v>2</v>
      </c>
      <c r="F2" s="2" t="inlineStr">
        <is>
          <t>预计总消费</t>
        </is>
      </c>
      <c r="G2" s="4">
        <f>SUMIFS($I$5:$I$2000,$K$5:$K$2000,"&lt;&gt;已取消")</f>
        <v/>
      </c>
      <c r="H2" s="2" t="inlineStr">
        <is>
          <t>已付</t>
        </is>
      </c>
      <c r="I2" s="4">
        <f>SUMPRODUCT(SUMIFS($I$5:$I$2000,$K$5:$K$2000,{"已购买","已预约","已完成"}))</f>
        <v/>
      </c>
      <c r="J2" s="2" t="inlineStr">
        <is>
          <t>待付</t>
        </is>
      </c>
      <c r="K2" s="4">
        <f>SUMPRODUCT(SUMIFS($I$5:$I$2000,$K$5:$K$2000,{"待购买","待预约"}))</f>
        <v/>
      </c>
    </row>
    <row r="3">
      <c r="A3" s="2" t="inlineStr">
        <is>
          <t>备注</t>
        </is>
      </c>
      <c r="B3" s="5" t="inlineStr">
        <is>
          <t>慢节奏原则：每天只安排 1–2 个核心区域；费用暂未填写，后续在 G/H 列补充后可自动汇总。</t>
        </is>
      </c>
      <c r="J3" s="2" t="inlineStr">
        <is>
          <t>待办数</t>
        </is>
      </c>
      <c r="K3" s="4">
        <f>SUMPRODUCT(COUNTIFS($K$5:$K$2000,{"待购买","待预约"}))</f>
        <v/>
      </c>
    </row>
    <row r="4">
      <c r="A4" s="6" t="inlineStr">
        <is>
          <t>日期</t>
        </is>
      </c>
      <c r="B4" s="6" t="inlineStr">
        <is>
          <t>开始</t>
        </is>
      </c>
      <c r="C4" s="6" t="inlineStr">
        <is>
          <t>结束</t>
        </is>
      </c>
      <c r="D4" s="6" t="inlineStr">
        <is>
          <t>类型</t>
        </is>
      </c>
      <c r="E4" s="6" t="inlineStr">
        <is>
          <t>项目</t>
        </is>
      </c>
      <c r="F4" s="6" t="inlineStr">
        <is>
          <t>路线 / 备注</t>
        </is>
      </c>
      <c r="G4" s="6" t="inlineStr">
        <is>
          <t>单价</t>
        </is>
      </c>
      <c r="H4" s="6" t="inlineStr">
        <is>
          <t>数量</t>
        </is>
      </c>
      <c r="I4" s="6" t="inlineStr">
        <is>
          <t>消费</t>
        </is>
      </c>
      <c r="J4" s="6" t="inlineStr">
        <is>
          <t>开售 / 预约时间</t>
        </is>
      </c>
      <c r="K4" s="6" t="inlineStr">
        <is>
          <t>状态</t>
        </is>
      </c>
      <c r="L4" s="6" t="inlineStr">
        <is>
          <t>地点 / 地图关键词</t>
        </is>
      </c>
    </row>
    <row r="5">
      <c r="A5" s="7" t="n">
        <v>46236</v>
      </c>
      <c r="B5" s="8" t="inlineStr">
        <is>
          <t>苏州→ 上海 → 深圳 → 香港</t>
        </is>
      </c>
    </row>
    <row r="6">
      <c r="A6" s="9" t="n">
        <v>46236</v>
      </c>
      <c r="B6" s="10" t="n">
        <v>0.2638888888888889</v>
      </c>
      <c r="C6" s="10" t="n">
        <v>0.2847222222222222</v>
      </c>
      <c r="D6" t="inlineStr">
        <is>
          <t>日常</t>
        </is>
      </c>
      <c r="E6" t="inlineStr">
        <is>
          <t>起床</t>
        </is>
      </c>
      <c r="F6" s="5" t="n"/>
      <c r="I6">
        <f>IF(OR(G6="",H6=""),"",G6*H6)</f>
        <v/>
      </c>
      <c r="K6" t="inlineStr">
        <is>
          <t>无需预订</t>
        </is>
      </c>
    </row>
    <row r="7">
      <c r="A7" s="9" t="n">
        <v>46236</v>
      </c>
      <c r="B7" s="10" t="n">
        <v>0.2916666666666667</v>
      </c>
      <c r="C7" s="10" t="n">
        <v>0.2986111111111111</v>
      </c>
      <c r="D7" t="inlineStr">
        <is>
          <t>交通</t>
        </is>
      </c>
      <c r="E7" t="inlineStr">
        <is>
          <t>打车</t>
        </is>
      </c>
      <c r="F7" s="5" t="inlineStr">
        <is>
          <t>家 → 苏州园区</t>
        </is>
      </c>
      <c r="G7" t="n">
        <v>10</v>
      </c>
      <c r="H7" t="n">
        <v>1</v>
      </c>
      <c r="I7">
        <f>IF(OR(G7="",H7=""),"",G7*H7)</f>
        <v/>
      </c>
      <c r="K7" t="inlineStr">
        <is>
          <t>无需预订</t>
        </is>
      </c>
      <c r="L7" t="inlineStr">
        <is>
          <t>苏州园区站</t>
        </is>
      </c>
    </row>
    <row r="8">
      <c r="A8" s="9" t="n">
        <v>46236</v>
      </c>
      <c r="B8" s="10" t="n">
        <v>0.3111111111111111</v>
      </c>
      <c r="C8" s="10" t="n">
        <v>0.3326388888888889</v>
      </c>
      <c r="D8" t="inlineStr">
        <is>
          <t>交通</t>
        </is>
      </c>
      <c r="E8" t="inlineStr">
        <is>
          <t>高铁</t>
        </is>
      </c>
      <c r="F8" s="5" t="inlineStr">
        <is>
          <t>G7503 苏州园区 → 上海虹桥</t>
        </is>
      </c>
      <c r="G8" t="n">
        <v>38</v>
      </c>
      <c r="H8" t="n">
        <v>2</v>
      </c>
      <c r="I8">
        <f>IF(OR(G8="",H8=""),"",G8*H8)</f>
        <v/>
      </c>
      <c r="J8" s="3" t="n">
        <v>46235</v>
      </c>
      <c r="K8" t="inlineStr">
        <is>
          <t>已购买</t>
        </is>
      </c>
      <c r="L8" t="inlineStr">
        <is>
          <t>上海虹桥站</t>
        </is>
      </c>
    </row>
    <row r="9">
      <c r="A9" s="9" t="n">
        <v>46236</v>
      </c>
      <c r="B9" s="10" t="n">
        <v>0.4097222222222222</v>
      </c>
      <c r="C9" s="10" t="n">
        <v>0.5138888888888888</v>
      </c>
      <c r="D9" t="inlineStr">
        <is>
          <t>交通</t>
        </is>
      </c>
      <c r="E9" t="inlineStr">
        <is>
          <t>飞机</t>
        </is>
      </c>
      <c r="F9" s="5" t="inlineStr">
        <is>
          <t>HO1883 上海虹桥 → 深圳宝安</t>
        </is>
      </c>
      <c r="G9" t="n">
        <v>866</v>
      </c>
      <c r="H9" t="n">
        <v>2</v>
      </c>
      <c r="I9">
        <f>IF(OR(G9="",H9=""),"",G9*H9)</f>
        <v/>
      </c>
      <c r="K9" t="inlineStr">
        <is>
          <t>已购买</t>
        </is>
      </c>
      <c r="L9" t="inlineStr">
        <is>
          <t>深圳宝安国际机场</t>
        </is>
      </c>
    </row>
    <row r="10">
      <c r="A10" s="9" t="n">
        <v>46236</v>
      </c>
      <c r="B10" s="10" t="n">
        <v>0.5416666666666666</v>
      </c>
      <c r="C10" s="10" t="n">
        <v>0.5694444444444444</v>
      </c>
      <c r="D10" t="inlineStr">
        <is>
          <t>交通</t>
        </is>
      </c>
      <c r="E10" t="inlineStr">
        <is>
          <t>地铁</t>
        </is>
      </c>
      <c r="F10" s="5" t="inlineStr">
        <is>
          <t>深圳宝安机场 → 福田站</t>
        </is>
      </c>
      <c r="G10" t="n">
        <v>8</v>
      </c>
      <c r="I10">
        <f>IF(OR(G10="",H10=""),"",G10*H10)</f>
        <v/>
      </c>
      <c r="K10" t="inlineStr">
        <is>
          <t>无需预订</t>
        </is>
      </c>
      <c r="L10" t="inlineStr">
        <is>
          <t>福田火车站</t>
        </is>
      </c>
    </row>
    <row r="11">
      <c r="A11" s="9" t="n">
        <v>46236</v>
      </c>
      <c r="B11" s="10" t="n">
        <v>0.5694444444444444</v>
      </c>
      <c r="C11" s="10" t="n">
        <v>0.5972222222222222</v>
      </c>
      <c r="D11" t="inlineStr">
        <is>
          <t>交通</t>
        </is>
      </c>
      <c r="E11" t="inlineStr">
        <is>
          <t>高铁</t>
        </is>
      </c>
      <c r="F11" s="5" t="inlineStr">
        <is>
          <t>过关候车</t>
        </is>
      </c>
      <c r="H11" t="n">
        <v>1</v>
      </c>
      <c r="I11">
        <f>IF(OR(G11="",H11=""),"",G11*H11)</f>
        <v/>
      </c>
      <c r="K11" t="inlineStr">
        <is>
          <t>无需预订</t>
        </is>
      </c>
    </row>
    <row r="12">
      <c r="A12" s="9" t="n">
        <v>46236</v>
      </c>
      <c r="B12" s="10" t="n">
        <v>0.6041666666666666</v>
      </c>
      <c r="C12" s="10" t="n">
        <v>0.6180555555555556</v>
      </c>
      <c r="D12" t="inlineStr">
        <is>
          <t>交通</t>
        </is>
      </c>
      <c r="E12" t="inlineStr">
        <is>
          <t>高铁</t>
        </is>
      </c>
      <c r="F12" s="5" t="inlineStr">
        <is>
          <t>福田站 → 九龙</t>
        </is>
      </c>
      <c r="G12" t="n">
        <v>68</v>
      </c>
      <c r="H12" t="n">
        <v>2</v>
      </c>
      <c r="I12">
        <f>IF(OR(G12="",H12=""),"",G12*H12)</f>
        <v/>
      </c>
      <c r="J12" s="11" t="n">
        <v>46236.58333333334</v>
      </c>
      <c r="K12" t="inlineStr">
        <is>
          <t>待购买</t>
        </is>
      </c>
      <c r="L12" t="inlineStr">
        <is>
          <t>香港西九龙站</t>
        </is>
      </c>
    </row>
    <row r="13">
      <c r="A13" s="9" t="n">
        <v>46236</v>
      </c>
      <c r="B13" s="10" t="n">
        <v>0.625</v>
      </c>
      <c r="C13" s="10" t="n">
        <v>0.6388888888888888</v>
      </c>
      <c r="D13" t="inlineStr">
        <is>
          <t>交通</t>
        </is>
      </c>
      <c r="E13" t="inlineStr">
        <is>
          <t>地铁</t>
        </is>
      </c>
      <c r="F13" s="5" t="inlineStr">
        <is>
          <t>九龙 → 酒店</t>
        </is>
      </c>
      <c r="G13" t="n">
        <v>4</v>
      </c>
      <c r="H13" t="n">
        <v>2</v>
      </c>
      <c r="I13">
        <f>IF(OR(G13="",H13=""),"",G13*H13)</f>
        <v/>
      </c>
      <c r="K13" t="inlineStr">
        <is>
          <t>无需预订</t>
        </is>
      </c>
    </row>
    <row r="14">
      <c r="A14" s="9" t="n">
        <v>46236</v>
      </c>
      <c r="B14" s="10" t="n">
        <v>0.6458333333333334</v>
      </c>
      <c r="C14" s="10" t="n">
        <v>0.6527777777777778</v>
      </c>
      <c r="D14" t="inlineStr">
        <is>
          <t>住宿</t>
        </is>
      </c>
      <c r="E14" t="inlineStr">
        <is>
          <t>入住</t>
        </is>
      </c>
      <c r="F14" s="5" t="inlineStr">
        <is>
          <t>都会海逸</t>
        </is>
      </c>
      <c r="G14" t="n">
        <v>716.89</v>
      </c>
      <c r="H14" t="n">
        <v>1</v>
      </c>
      <c r="I14">
        <f>IF(OR(G14="",H14=""),"",G14*H14)</f>
        <v/>
      </c>
      <c r="K14" t="inlineStr">
        <is>
          <t>已购买</t>
        </is>
      </c>
      <c r="L14" t="inlineStr">
        <is>
          <t>香港都会海逸酒店</t>
        </is>
      </c>
    </row>
    <row r="15">
      <c r="A15" s="7" t="n">
        <v>46237</v>
      </c>
      <c r="B15" s="8" t="inlineStr">
        <is>
          <t>香港 → 深圳 → 昆明</t>
        </is>
      </c>
    </row>
    <row r="16">
      <c r="A16" s="9" t="n">
        <v>46237</v>
      </c>
      <c r="B16" s="10" t="n">
        <v>0.3333333333333333</v>
      </c>
      <c r="C16" s="10" t="n">
        <v>0.3472222222222222</v>
      </c>
      <c r="D16" t="inlineStr">
        <is>
          <t>日常</t>
        </is>
      </c>
      <c r="E16" t="inlineStr">
        <is>
          <t>起床</t>
        </is>
      </c>
      <c r="F16" s="5" t="n"/>
      <c r="I16">
        <f>IF(OR(G16="",H16=""),"",G16*H16)</f>
        <v/>
      </c>
      <c r="K16" t="inlineStr">
        <is>
          <t>无需预订</t>
        </is>
      </c>
    </row>
    <row r="17">
      <c r="A17" s="9" t="n">
        <v>46237</v>
      </c>
      <c r="B17" s="10" t="n">
        <v>0.3541666666666667</v>
      </c>
      <c r="C17" s="10" t="n">
        <v>0.375</v>
      </c>
      <c r="D17" t="inlineStr">
        <is>
          <t>餐饮</t>
        </is>
      </c>
      <c r="E17" t="inlineStr">
        <is>
          <t>早餐</t>
        </is>
      </c>
      <c r="F17" s="5" t="n"/>
      <c r="I17">
        <f>IF(OR(G17="",H17=""),"",G17*H17)</f>
        <v/>
      </c>
      <c r="K17" t="inlineStr">
        <is>
          <t>无需预订</t>
        </is>
      </c>
    </row>
    <row r="18">
      <c r="A18" s="9" t="n">
        <v>46237</v>
      </c>
      <c r="B18" s="10" t="n">
        <v>0.4513888888888889</v>
      </c>
      <c r="C18" s="10" t="n">
        <v>0.4583333333333333</v>
      </c>
      <c r="D18" t="inlineStr">
        <is>
          <t>住宿</t>
        </is>
      </c>
      <c r="E18" t="inlineStr">
        <is>
          <t>退房</t>
        </is>
      </c>
      <c r="F18" s="5" t="n"/>
      <c r="I18">
        <f>IF(OR(G18="",H18=""),"",G18*H18)</f>
        <v/>
      </c>
      <c r="K18" t="inlineStr">
        <is>
          <t>无需预订</t>
        </is>
      </c>
    </row>
    <row r="19">
      <c r="A19" s="9" t="n">
        <v>46237</v>
      </c>
      <c r="B19" s="10" t="n">
        <v>0.6111111111111112</v>
      </c>
      <c r="C19" s="10" t="n">
        <v>0.6180555555555556</v>
      </c>
      <c r="D19" t="inlineStr">
        <is>
          <t>住宿</t>
        </is>
      </c>
      <c r="E19" t="inlineStr">
        <is>
          <t>退房</t>
        </is>
      </c>
      <c r="F19" s="5" t="inlineStr">
        <is>
          <t>拿行李</t>
        </is>
      </c>
      <c r="I19">
        <f>IF(OR(G19="",H19=""),"",G19*H19)</f>
        <v/>
      </c>
      <c r="K19" t="inlineStr">
        <is>
          <t>无需预订</t>
        </is>
      </c>
    </row>
    <row r="20">
      <c r="A20" s="9" t="n">
        <v>46237</v>
      </c>
      <c r="B20" s="10" t="n">
        <v>0.6180555555555556</v>
      </c>
      <c r="C20" s="10" t="n">
        <v>0.6319444444444444</v>
      </c>
      <c r="D20" t="inlineStr">
        <is>
          <t>交通</t>
        </is>
      </c>
      <c r="E20" t="inlineStr">
        <is>
          <t>地铁</t>
        </is>
      </c>
      <c r="F20" s="5" t="inlineStr">
        <is>
          <t>酒店 → 西九龙</t>
        </is>
      </c>
      <c r="G20" t="n">
        <v>4</v>
      </c>
      <c r="H20" t="n">
        <v>2</v>
      </c>
      <c r="I20">
        <f>IF(OR(G20="",H20=""),"",G20*H20)</f>
        <v/>
      </c>
      <c r="K20" t="inlineStr">
        <is>
          <t>无需预订</t>
        </is>
      </c>
      <c r="L20" t="inlineStr">
        <is>
          <t>香港西九龙站</t>
        </is>
      </c>
    </row>
    <row r="21">
      <c r="A21" s="9" t="n">
        <v>46237</v>
      </c>
      <c r="B21" s="10" t="n">
        <v>0.64375</v>
      </c>
      <c r="C21" s="10" t="n">
        <v>0.6534722222222222</v>
      </c>
      <c r="D21" t="inlineStr">
        <is>
          <t>交通</t>
        </is>
      </c>
      <c r="E21" t="inlineStr">
        <is>
          <t>高铁</t>
        </is>
      </c>
      <c r="F21" s="5" t="inlineStr">
        <is>
          <t>G5806 西九龙 → 福田</t>
        </is>
      </c>
      <c r="G21" t="n">
        <v>68</v>
      </c>
      <c r="H21" t="n">
        <v>2</v>
      </c>
      <c r="I21">
        <f>IF(OR(G21="",H21=""),"",G21*H21)</f>
        <v/>
      </c>
      <c r="K21" t="inlineStr">
        <is>
          <t>待购买</t>
        </is>
      </c>
      <c r="L21" t="inlineStr">
        <is>
          <t>福田站</t>
        </is>
      </c>
    </row>
    <row r="22">
      <c r="A22" s="9" t="n">
        <v>46237</v>
      </c>
      <c r="B22" s="10" t="n">
        <v>0.6805555555555556</v>
      </c>
      <c r="C22" s="10" t="n">
        <v>0.7083333333333334</v>
      </c>
      <c r="D22" t="inlineStr">
        <is>
          <t>交通</t>
        </is>
      </c>
      <c r="E22" t="inlineStr">
        <is>
          <t>地铁</t>
        </is>
      </c>
      <c r="F22" s="5" t="inlineStr">
        <is>
          <t>福田 → 深圳宝安机场</t>
        </is>
      </c>
      <c r="G22" t="n">
        <v>8</v>
      </c>
      <c r="H22" t="n">
        <v>2</v>
      </c>
      <c r="I22">
        <f>IF(OR(G22="",H22=""),"",G22*H22)</f>
        <v/>
      </c>
      <c r="K22" t="inlineStr">
        <is>
          <t>无需预订</t>
        </is>
      </c>
      <c r="L22" t="inlineStr">
        <is>
          <t>深圳宝安国际机场</t>
        </is>
      </c>
    </row>
    <row r="23">
      <c r="A23" s="9" t="n">
        <v>46237</v>
      </c>
      <c r="B23" s="10" t="n">
        <v>0.7673611111111112</v>
      </c>
      <c r="C23" s="10" t="n">
        <v>0.875</v>
      </c>
      <c r="D23" t="inlineStr">
        <is>
          <t>交通</t>
        </is>
      </c>
      <c r="E23" t="inlineStr">
        <is>
          <t>飞机</t>
        </is>
      </c>
      <c r="F23" s="5" t="inlineStr">
        <is>
          <t>CZ6923 深圳 → 昆明</t>
        </is>
      </c>
      <c r="G23" t="n">
        <v>1110</v>
      </c>
      <c r="H23" t="n">
        <v>2</v>
      </c>
      <c r="I23">
        <f>IF(OR(G23="",H23=""),"",G23*H23)</f>
        <v/>
      </c>
      <c r="K23" t="inlineStr">
        <is>
          <t>已购买</t>
        </is>
      </c>
      <c r="L23" t="inlineStr">
        <is>
          <t>昆明长水国际机场</t>
        </is>
      </c>
    </row>
    <row r="24">
      <c r="A24" s="9" t="n">
        <v>46237</v>
      </c>
      <c r="B24" s="10" t="n">
        <v>0.8958333333333334</v>
      </c>
      <c r="C24" s="10" t="n">
        <v>0.9305555555555556</v>
      </c>
      <c r="D24" t="inlineStr">
        <is>
          <t>交通</t>
        </is>
      </c>
      <c r="E24" t="inlineStr">
        <is>
          <t>地铁</t>
        </is>
      </c>
      <c r="F24" s="5" t="inlineStr">
        <is>
          <t>6号线 3号线 机场中心 东部汽车站 五一路 A口</t>
        </is>
      </c>
      <c r="G24" t="n">
        <v>17</v>
      </c>
      <c r="I24">
        <f>IF(OR(G24="",H24=""),"",G24*H24)</f>
        <v/>
      </c>
      <c r="K24" t="inlineStr">
        <is>
          <t>无需预订</t>
        </is>
      </c>
    </row>
    <row r="25">
      <c r="A25" s="9" t="n">
        <v>46237</v>
      </c>
      <c r="B25" s="10" t="n">
        <v>0.9305555555555556</v>
      </c>
      <c r="C25" s="10" t="n">
        <v>0.9375</v>
      </c>
      <c r="D25" t="inlineStr">
        <is>
          <t>住宿</t>
        </is>
      </c>
      <c r="E25" t="inlineStr">
        <is>
          <t>入住酒店</t>
        </is>
      </c>
      <c r="F25" s="5" t="inlineStr">
        <is>
          <t>昆明南屏步行街老街桔子水晶酒店</t>
        </is>
      </c>
      <c r="G25" t="n">
        <v>548.29</v>
      </c>
      <c r="H25" t="n">
        <v>1</v>
      </c>
      <c r="I25">
        <f>IF(OR(G25="",H25=""),"",G25*H25)</f>
        <v/>
      </c>
      <c r="K25" t="inlineStr">
        <is>
          <t>已购买</t>
        </is>
      </c>
      <c r="L25" t="inlineStr">
        <is>
          <t>昆明南屏步行街老街桔子水晶酒店</t>
        </is>
      </c>
    </row>
    <row r="26">
      <c r="A26" s="9" t="n">
        <v>46237</v>
      </c>
      <c r="B26" s="10" t="n">
        <v>0.9375</v>
      </c>
      <c r="C26" s="10" t="n">
        <v>0.9583333333333334</v>
      </c>
      <c r="D26" t="inlineStr">
        <is>
          <t>餐饮</t>
        </is>
      </c>
      <c r="E26" t="inlineStr">
        <is>
          <t>附近简单晚餐 / 宵夜</t>
        </is>
      </c>
      <c r="F26" s="5" t="inlineStr">
        <is>
          <t>过桥米线、汽锅鸡任选；若航班延误可直接休息</t>
        </is>
      </c>
      <c r="G26" t="n">
        <v>50</v>
      </c>
      <c r="H26" t="n">
        <v>2</v>
      </c>
      <c r="I26">
        <f>IF(OR(G26="",H26=""),"",G26*H26)</f>
        <v/>
      </c>
      <c r="K26" t="inlineStr">
        <is>
          <t>无需预订</t>
        </is>
      </c>
    </row>
    <row r="27">
      <c r="A27" s="7" t="n">
        <v>46238</v>
      </c>
      <c r="B27" s="8" t="inlineStr">
        <is>
          <t>昆明 → 大理 · 洱海公园</t>
        </is>
      </c>
    </row>
    <row r="28">
      <c r="A28" s="9" t="n">
        <v>46238</v>
      </c>
      <c r="B28" s="10" t="n">
        <v>0.3194444444444444</v>
      </c>
      <c r="C28" s="10" t="n">
        <v>0.3333333333333333</v>
      </c>
      <c r="D28" t="inlineStr">
        <is>
          <t>日常</t>
        </is>
      </c>
      <c r="E28" t="inlineStr">
        <is>
          <t>起床</t>
        </is>
      </c>
      <c r="F28" s="5" t="n"/>
      <c r="I28">
        <f>IF(OR(G28="",H28=""),"",G28*H28)</f>
        <v/>
      </c>
      <c r="K28" t="inlineStr">
        <is>
          <t>无需预订</t>
        </is>
      </c>
    </row>
    <row r="29">
      <c r="A29" s="9" t="n">
        <v>46238</v>
      </c>
      <c r="B29" s="10" t="n">
        <v>0.3333333333333333</v>
      </c>
      <c r="C29" s="10" t="n">
        <v>0.3472222222222222</v>
      </c>
      <c r="D29" t="inlineStr">
        <is>
          <t>餐饮</t>
        </is>
      </c>
      <c r="E29" t="inlineStr">
        <is>
          <t>早餐</t>
        </is>
      </c>
      <c r="F29" s="5" t="inlineStr">
        <is>
          <t>酒店早餐</t>
        </is>
      </c>
      <c r="I29">
        <f>IF(OR(G29="",H29=""),"",G29*H29)</f>
        <v/>
      </c>
      <c r="K29" t="inlineStr">
        <is>
          <t>无需预订</t>
        </is>
      </c>
    </row>
    <row r="30">
      <c r="A30" s="9" t="n">
        <v>46238</v>
      </c>
      <c r="B30" s="10" t="n">
        <v>0.3472222222222222</v>
      </c>
      <c r="C30" s="10" t="n">
        <v>0.3611111111111111</v>
      </c>
      <c r="D30" t="inlineStr">
        <is>
          <t>交通</t>
        </is>
      </c>
      <c r="E30" t="inlineStr">
        <is>
          <t>打车</t>
        </is>
      </c>
      <c r="F30" s="5" t="n"/>
      <c r="G30" t="n">
        <v>15</v>
      </c>
      <c r="H30" t="n">
        <v>1</v>
      </c>
      <c r="I30">
        <f>IF(OR(G30="",H30=""),"",G30*H30)</f>
        <v/>
      </c>
      <c r="K30" t="inlineStr">
        <is>
          <t>无需预订</t>
        </is>
      </c>
    </row>
    <row r="31">
      <c r="A31" s="9" t="n">
        <v>46238</v>
      </c>
      <c r="B31" s="10" t="n">
        <v>0.3611111111111111</v>
      </c>
      <c r="C31" s="10" t="n">
        <v>0.4166666666666667</v>
      </c>
      <c r="D31" t="inlineStr">
        <is>
          <t>游览</t>
        </is>
      </c>
      <c r="E31" t="inlineStr">
        <is>
          <t>翠湖公园慢走</t>
        </is>
      </c>
      <c r="F31" s="5" t="inlineStr">
        <is>
          <t>可顺路看云南陆军讲武堂外观；下雨则改为云南省博物馆</t>
        </is>
      </c>
      <c r="I31">
        <f>IF(OR(G31="",H31=""),"",G31*H31)</f>
        <v/>
      </c>
      <c r="K31" t="inlineStr">
        <is>
          <t>无需预订</t>
        </is>
      </c>
      <c r="L31" t="inlineStr">
        <is>
          <t>翠湖公园</t>
        </is>
      </c>
    </row>
    <row r="32">
      <c r="A32" s="9" t="n">
        <v>46238</v>
      </c>
      <c r="B32" s="10" t="n">
        <v>0.4166666666666667</v>
      </c>
      <c r="C32" s="10" t="n">
        <v>0.4305555555555556</v>
      </c>
      <c r="D32" t="inlineStr">
        <is>
          <t>交通</t>
        </is>
      </c>
      <c r="E32" t="inlineStr">
        <is>
          <t>打车</t>
        </is>
      </c>
      <c r="F32" s="5" t="n"/>
      <c r="G32" t="n">
        <v>10</v>
      </c>
      <c r="H32" t="n">
        <v>1</v>
      </c>
      <c r="I32">
        <f>IF(OR(G32="",H32=""),"",G32*H32)</f>
        <v/>
      </c>
      <c r="K32" t="inlineStr">
        <is>
          <t>无需预订</t>
        </is>
      </c>
    </row>
    <row r="33">
      <c r="A33" s="9" t="n">
        <v>46238</v>
      </c>
      <c r="B33" s="10" t="n">
        <v>0.4305555555555556</v>
      </c>
      <c r="C33" s="10" t="n">
        <v>0.5</v>
      </c>
      <c r="D33" t="inlineStr">
        <is>
          <t>餐饮</t>
        </is>
      </c>
      <c r="E33" t="inlineStr">
        <is>
          <t>午餐</t>
        </is>
      </c>
      <c r="F33" s="5" t="inlineStr">
        <is>
          <t>昆明老街附近就餐，走回酒店</t>
        </is>
      </c>
      <c r="I33">
        <f>IF(OR(G33="",H33=""),"",G33*H33)</f>
        <v/>
      </c>
      <c r="K33" t="inlineStr">
        <is>
          <t>无需预订</t>
        </is>
      </c>
    </row>
    <row r="34">
      <c r="A34" s="9" t="n">
        <v>46238</v>
      </c>
      <c r="B34" s="10" t="n">
        <v>0.5</v>
      </c>
      <c r="C34" s="10" t="n">
        <v>0.5</v>
      </c>
      <c r="D34" t="inlineStr">
        <is>
          <t>住宿</t>
        </is>
      </c>
      <c r="E34" t="inlineStr">
        <is>
          <t>退房</t>
        </is>
      </c>
      <c r="F34" s="5" t="inlineStr">
        <is>
          <t>休息后退房，延迟退房至15点</t>
        </is>
      </c>
      <c r="I34">
        <f>IF(OR(G34="",H34=""),"",G34*H34)</f>
        <v/>
      </c>
      <c r="K34" t="inlineStr">
        <is>
          <t>无需预订</t>
        </is>
      </c>
    </row>
    <row r="35">
      <c r="A35" s="9" t="n">
        <v>46238</v>
      </c>
      <c r="B35" s="10" t="n">
        <v>0.5069444444444444</v>
      </c>
      <c r="C35" s="10" t="n">
        <v>0.5208333333333334</v>
      </c>
      <c r="D35" t="inlineStr">
        <is>
          <t>交通</t>
        </is>
      </c>
      <c r="E35" t="inlineStr">
        <is>
          <t>打车</t>
        </is>
      </c>
      <c r="F35" s="5" t="inlineStr">
        <is>
          <t>天气不好的话需要提前10分钟</t>
        </is>
      </c>
      <c r="I35">
        <f>IF(OR(G35="",H35=""),"",G35*H35)</f>
        <v/>
      </c>
      <c r="K35" t="inlineStr">
        <is>
          <t>无需预订</t>
        </is>
      </c>
      <c r="L35" t="inlineStr">
        <is>
          <t>昆明站</t>
        </is>
      </c>
    </row>
    <row r="36">
      <c r="A36" s="9" t="n">
        <v>46238</v>
      </c>
      <c r="B36" s="10" t="n">
        <v>0.5409722222222222</v>
      </c>
      <c r="C36" s="10" t="n">
        <v>0.6291666666666667</v>
      </c>
      <c r="D36" t="inlineStr">
        <is>
          <t>交通</t>
        </is>
      </c>
      <c r="E36" t="inlineStr">
        <is>
          <t>高铁</t>
        </is>
      </c>
      <c r="F36" s="5" t="inlineStr">
        <is>
          <t>D3939 昆明 → 大理</t>
        </is>
      </c>
      <c r="G36" t="n">
        <v>145</v>
      </c>
      <c r="H36" t="n">
        <v>2</v>
      </c>
      <c r="I36">
        <f>IF(OR(G36="",H36=""),"",G36*H36)</f>
        <v/>
      </c>
      <c r="K36" t="inlineStr">
        <is>
          <t>已购买</t>
        </is>
      </c>
      <c r="L36" t="inlineStr">
        <is>
          <t>大理站</t>
        </is>
      </c>
    </row>
    <row r="37">
      <c r="A37" s="9" t="n">
        <v>46238</v>
      </c>
      <c r="B37" s="10" t="n">
        <v>0.6319444444444444</v>
      </c>
      <c r="C37" s="10" t="n">
        <v>0.6458333333333334</v>
      </c>
      <c r="D37" t="inlineStr">
        <is>
          <t>交通</t>
        </is>
      </c>
      <c r="E37" t="inlineStr">
        <is>
          <t>打车</t>
        </is>
      </c>
      <c r="F37" s="5" t="inlineStr">
        <is>
          <t>大理站 → 酒店</t>
        </is>
      </c>
      <c r="G37" t="n">
        <v>10</v>
      </c>
      <c r="I37">
        <f>IF(OR(G37="",H37=""),"",G37*H37)</f>
        <v/>
      </c>
      <c r="K37" t="inlineStr">
        <is>
          <t>无需预订</t>
        </is>
      </c>
    </row>
    <row r="38">
      <c r="A38" s="9" t="n">
        <v>46238</v>
      </c>
      <c r="B38" s="10" t="n">
        <v>0.6458333333333334</v>
      </c>
      <c r="C38" s="10" t="n">
        <v>0.6527777777777778</v>
      </c>
      <c r="D38" t="inlineStr">
        <is>
          <t>住宿</t>
        </is>
      </c>
      <c r="E38" t="inlineStr">
        <is>
          <t>入住酒店</t>
        </is>
      </c>
      <c r="F38" s="5" t="inlineStr">
        <is>
          <t>大理洱海天域英迪格</t>
        </is>
      </c>
      <c r="G38" t="n">
        <v>1650</v>
      </c>
      <c r="H38" t="n">
        <v>1</v>
      </c>
      <c r="I38">
        <f>IF(OR(G38="",H38=""),"",G38*H38)</f>
        <v/>
      </c>
      <c r="K38" t="inlineStr">
        <is>
          <t>已购买</t>
        </is>
      </c>
      <c r="L38" t="inlineStr">
        <is>
          <t>大理洱海天域英迪格酒店</t>
        </is>
      </c>
    </row>
    <row r="39">
      <c r="A39" s="9" t="n">
        <v>46238</v>
      </c>
      <c r="B39" s="10" t="n">
        <v>0.6527777777777778</v>
      </c>
      <c r="C39" s="10" t="n">
        <v>0.7083333333333334</v>
      </c>
      <c r="D39" t="inlineStr">
        <is>
          <t>日常</t>
        </is>
      </c>
      <c r="E39" t="inlineStr">
        <is>
          <t>休息</t>
        </is>
      </c>
      <c r="F39" s="5" t="inlineStr">
        <is>
          <t>酒店看海</t>
        </is>
      </c>
      <c r="I39">
        <f>IF(OR(G39="",H39=""),"",G39*H39)</f>
        <v/>
      </c>
      <c r="K39" t="inlineStr">
        <is>
          <t>无需预订</t>
        </is>
      </c>
    </row>
    <row r="40">
      <c r="A40" s="9" t="n">
        <v>46238</v>
      </c>
      <c r="B40" s="10" t="n">
        <v>0.7083333333333334</v>
      </c>
      <c r="C40" s="10" t="n">
        <v>0.75</v>
      </c>
      <c r="D40" t="inlineStr">
        <is>
          <t>游览</t>
        </is>
      </c>
      <c r="E40" t="inlineStr">
        <is>
          <t>洱海公园</t>
        </is>
      </c>
      <c r="F40" s="5" t="inlineStr">
        <is>
          <t>洱海散步</t>
        </is>
      </c>
      <c r="I40">
        <f>IF(OR(G40="",H40=""),"",G40*H40)</f>
        <v/>
      </c>
      <c r="K40" t="inlineStr">
        <is>
          <t>无需预订</t>
        </is>
      </c>
      <c r="L40" t="inlineStr">
        <is>
          <t>洱海公园</t>
        </is>
      </c>
    </row>
    <row r="41">
      <c r="A41" s="9" t="n">
        <v>46238</v>
      </c>
      <c r="B41" s="10" t="n">
        <v>0.75</v>
      </c>
      <c r="C41" s="10" t="n">
        <v>0.7916666666666666</v>
      </c>
      <c r="D41" t="inlineStr">
        <is>
          <t>餐饮</t>
        </is>
      </c>
      <c r="E41" t="inlineStr">
        <is>
          <t>晚餐</t>
        </is>
      </c>
      <c r="F41" s="5" t="inlineStr">
        <is>
          <t>附近吃特色晚餐</t>
        </is>
      </c>
      <c r="I41">
        <f>IF(OR(G41="",H41=""),"",G41*H41)</f>
        <v/>
      </c>
      <c r="K41" t="inlineStr">
        <is>
          <t>无需预订</t>
        </is>
      </c>
    </row>
    <row r="42">
      <c r="A42" s="9" t="n">
        <v>46238</v>
      </c>
      <c r="B42" s="10" t="n">
        <v>0.8125</v>
      </c>
      <c r="C42" s="10" t="n">
        <v>0.8402777777777778</v>
      </c>
      <c r="D42" t="inlineStr">
        <is>
          <t>游览</t>
        </is>
      </c>
      <c r="E42" t="inlineStr">
        <is>
          <t>落日</t>
        </is>
      </c>
      <c r="F42" s="5" t="n"/>
      <c r="I42">
        <f>IF(OR(G42="",H42=""),"",G42*H42)</f>
        <v/>
      </c>
      <c r="K42" t="inlineStr">
        <is>
          <t>无需预订</t>
        </is>
      </c>
    </row>
    <row r="43">
      <c r="A43" s="7" t="n">
        <v>46239</v>
      </c>
      <c r="B43" s="8" t="inlineStr">
        <is>
          <t>大理 · 洱海西岸</t>
        </is>
      </c>
    </row>
    <row r="44">
      <c r="A44" s="9" t="n">
        <v>46239</v>
      </c>
      <c r="B44" s="10" t="n">
        <v>0.375</v>
      </c>
      <c r="C44" s="10" t="n">
        <v>0.4166666666666667</v>
      </c>
      <c r="D44" t="inlineStr">
        <is>
          <t>餐饮</t>
        </is>
      </c>
      <c r="E44" t="inlineStr">
        <is>
          <t>早午餐</t>
        </is>
      </c>
      <c r="F44" s="5" t="inlineStr">
        <is>
          <t>酒店早餐</t>
        </is>
      </c>
      <c r="I44">
        <f>IF(OR(G44="",H44=""),"",G44*H44)</f>
        <v/>
      </c>
      <c r="K44" t="inlineStr">
        <is>
          <t>无需预订</t>
        </is>
      </c>
    </row>
    <row r="45">
      <c r="A45" s="9" t="n">
        <v>46239</v>
      </c>
      <c r="B45" s="10" t="n">
        <v>0.4930555555555556</v>
      </c>
      <c r="C45" s="10" t="n">
        <v>0.5</v>
      </c>
      <c r="D45" t="inlineStr">
        <is>
          <t>住宿</t>
        </is>
      </c>
      <c r="E45" t="inlineStr">
        <is>
          <t>退房</t>
        </is>
      </c>
      <c r="F45" s="5" t="n"/>
      <c r="I45">
        <f>IF(OR(G45="",H45=""),"",G45*H45)</f>
        <v/>
      </c>
      <c r="K45" t="inlineStr">
        <is>
          <t>无需预订</t>
        </is>
      </c>
    </row>
    <row r="46">
      <c r="A46" s="9" t="n">
        <v>46239</v>
      </c>
      <c r="B46" s="10" t="n">
        <v>0.5</v>
      </c>
      <c r="C46" s="10" t="n">
        <v>0.5277777777777778</v>
      </c>
      <c r="D46" t="inlineStr">
        <is>
          <t>交通</t>
        </is>
      </c>
      <c r="E46" t="inlineStr">
        <is>
          <t>前往酒店</t>
        </is>
      </c>
      <c r="F46" s="5" t="inlineStr">
        <is>
          <t>打车</t>
        </is>
      </c>
      <c r="G46" t="n">
        <v>40</v>
      </c>
      <c r="H46" t="n">
        <v>1</v>
      </c>
      <c r="I46">
        <f>IF(OR(G46="",H46=""),"",G46*H46)</f>
        <v/>
      </c>
      <c r="K46" t="inlineStr">
        <is>
          <t>无需预订</t>
        </is>
      </c>
      <c r="L46" t="inlineStr">
        <is>
          <t>大理古城三月街亚朵见野酒店</t>
        </is>
      </c>
    </row>
    <row r="47">
      <c r="A47" s="9" t="n">
        <v>46239</v>
      </c>
      <c r="B47" s="10" t="n">
        <v>0.5277777777777778</v>
      </c>
      <c r="C47" s="10" t="n">
        <v>0.5416666666666666</v>
      </c>
      <c r="D47" t="inlineStr">
        <is>
          <t>住宿</t>
        </is>
      </c>
      <c r="E47" t="inlineStr">
        <is>
          <t>入住酒店</t>
        </is>
      </c>
      <c r="F47" s="5" t="inlineStr">
        <is>
          <t>大理古城三月街亚朵见野</t>
        </is>
      </c>
      <c r="G47" t="n">
        <v>989.5</v>
      </c>
      <c r="H47" t="n">
        <v>2</v>
      </c>
      <c r="I47">
        <f>IF(OR(G47="",H47=""),"",G47*H47)</f>
        <v/>
      </c>
      <c r="K47" t="inlineStr">
        <is>
          <t>已购买</t>
        </is>
      </c>
      <c r="L47" t="inlineStr">
        <is>
          <t>大理古城三月街亚朵见野酒店</t>
        </is>
      </c>
    </row>
    <row r="48">
      <c r="A48" s="9" t="n">
        <v>46239</v>
      </c>
      <c r="B48" s="10" t="n">
        <v>0.5833333333333334</v>
      </c>
      <c r="C48" s="10" t="n">
        <v>0.75</v>
      </c>
      <c r="D48" t="inlineStr">
        <is>
          <t>游览</t>
        </is>
      </c>
      <c r="E48" t="inlineStr">
        <is>
          <t>生态廊道</t>
        </is>
      </c>
      <c r="F48" s="5" t="inlineStr">
        <is>
          <t>只选一小段散步或骑行 5–8 公里，不环洱海；雨大则改咖啡馆休息；龙龛码头；才村码头</t>
        </is>
      </c>
      <c r="I48">
        <f>IF(OR(G48="",H48=""),"",G48*H48)</f>
        <v/>
      </c>
      <c r="K48" t="inlineStr">
        <is>
          <t>无需预订</t>
        </is>
      </c>
      <c r="L48" t="inlineStr">
        <is>
          <t>大理洱海生态廊道</t>
        </is>
      </c>
    </row>
    <row r="49">
      <c r="A49" s="9" t="n">
        <v>46239</v>
      </c>
      <c r="B49" s="10" t="n">
        <v>0.6875</v>
      </c>
      <c r="C49" s="10" t="n">
        <v>0.7291666666666666</v>
      </c>
      <c r="D49" t="inlineStr">
        <is>
          <t>交通</t>
        </is>
      </c>
      <c r="E49" t="inlineStr">
        <is>
          <t>返回酒店</t>
        </is>
      </c>
      <c r="F49" s="5" t="inlineStr">
        <is>
          <t>返程约 40–60 分钟</t>
        </is>
      </c>
      <c r="I49">
        <f>IF(OR(G49="",H49=""),"",G49*H49)</f>
        <v/>
      </c>
      <c r="K49" t="inlineStr">
        <is>
          <t>无需预订</t>
        </is>
      </c>
      <c r="L49" t="inlineStr">
        <is>
          <t>龙龛码头</t>
        </is>
      </c>
    </row>
    <row r="50">
      <c r="A50" s="9" t="n">
        <v>46239</v>
      </c>
      <c r="B50" s="10" t="n">
        <v>0.7708333333333334</v>
      </c>
      <c r="C50" s="10" t="n">
        <v>0.8333333333333334</v>
      </c>
      <c r="D50" t="inlineStr">
        <is>
          <t>餐饮</t>
        </is>
      </c>
      <c r="E50" t="inlineStr">
        <is>
          <t>晚餐与自由活动</t>
        </is>
      </c>
      <c r="F50" s="5" t="inlineStr">
        <is>
          <t>体力充足再逛古城；否则早点休息</t>
        </is>
      </c>
      <c r="I50">
        <f>IF(OR(G50="",H50=""),"",G50*H50)</f>
        <v/>
      </c>
      <c r="K50" t="inlineStr">
        <is>
          <t>无需预订</t>
        </is>
      </c>
      <c r="L50" t="inlineStr">
        <is>
          <t>才村码头</t>
        </is>
      </c>
    </row>
    <row r="51">
      <c r="A51" s="7" t="n">
        <v>46240</v>
      </c>
      <c r="B51" s="8" t="inlineStr">
        <is>
          <t>大理 · 喜洲古镇 · 三塔</t>
        </is>
      </c>
    </row>
    <row r="52">
      <c r="A52" s="9" t="n">
        <v>46240</v>
      </c>
      <c r="B52" s="10" t="n">
        <v>0.3333333333333333</v>
      </c>
      <c r="C52" s="10" t="n">
        <v>0.3541666666666667</v>
      </c>
      <c r="D52" t="inlineStr">
        <is>
          <t>日常</t>
        </is>
      </c>
      <c r="E52" t="inlineStr">
        <is>
          <t>起床</t>
        </is>
      </c>
      <c r="F52" s="5" t="n"/>
      <c r="I52">
        <f>IF(OR(G52="",H52=""),"",G52*H52)</f>
        <v/>
      </c>
      <c r="K52" t="inlineStr">
        <is>
          <t>无需预订</t>
        </is>
      </c>
    </row>
    <row r="53">
      <c r="A53" s="9" t="n">
        <v>46240</v>
      </c>
      <c r="B53" s="10" t="n">
        <v>0.3541666666666667</v>
      </c>
      <c r="C53" s="10" t="n">
        <v>0.3958333333333333</v>
      </c>
      <c r="D53" t="inlineStr">
        <is>
          <t>游览</t>
        </is>
      </c>
      <c r="E53" t="inlineStr">
        <is>
          <t>古城北门早市</t>
        </is>
      </c>
      <c r="F53" s="5" t="inlineStr">
        <is>
          <t>步行，逛吃，特色</t>
        </is>
      </c>
      <c r="G53" t="n">
        <v>20</v>
      </c>
      <c r="H53" t="n">
        <v>2</v>
      </c>
      <c r="I53">
        <f>IF(OR(G53="",H53=""),"",G53*H53)</f>
        <v/>
      </c>
      <c r="K53" t="inlineStr">
        <is>
          <t>无需预订</t>
        </is>
      </c>
    </row>
    <row r="54">
      <c r="A54" s="9" t="n">
        <v>46240</v>
      </c>
      <c r="B54" s="10" t="n">
        <v>0.3958333333333333</v>
      </c>
      <c r="C54" s="10" t="n">
        <v>0.4166666666666667</v>
      </c>
      <c r="D54" t="inlineStr">
        <is>
          <t>交通</t>
        </is>
      </c>
      <c r="E54" t="inlineStr">
        <is>
          <t>打车</t>
        </is>
      </c>
      <c r="F54" s="5" t="inlineStr">
        <is>
          <t>返程约 40–60 分钟</t>
        </is>
      </c>
      <c r="G54" t="n">
        <v>40</v>
      </c>
      <c r="I54">
        <f>IF(OR(G54="",H54=""),"",G54*H54)</f>
        <v/>
      </c>
      <c r="K54" t="inlineStr">
        <is>
          <t>无需预订</t>
        </is>
      </c>
    </row>
    <row r="55">
      <c r="A55" s="9" t="n">
        <v>46240</v>
      </c>
      <c r="B55" s="10" t="n">
        <v>0.4166666666666667</v>
      </c>
      <c r="C55" s="10" t="n">
        <v>0.5</v>
      </c>
      <c r="D55" t="inlineStr">
        <is>
          <t>游览</t>
        </is>
      </c>
      <c r="E55" t="inlineStr">
        <is>
          <t>喜洲古镇</t>
        </is>
      </c>
      <c r="F55" s="5" t="inlineStr">
        <is>
          <t>2小时左右</t>
        </is>
      </c>
      <c r="I55">
        <f>IF(OR(G55="",H55=""),"",G55*H55)</f>
        <v/>
      </c>
      <c r="K55" t="inlineStr">
        <is>
          <t>无需预订</t>
        </is>
      </c>
      <c r="L55" t="inlineStr">
        <is>
          <t>喜洲古镇</t>
        </is>
      </c>
    </row>
    <row r="56">
      <c r="A56" s="9" t="n">
        <v>46240</v>
      </c>
      <c r="B56" s="10" t="n">
        <v>0.5</v>
      </c>
      <c r="C56" s="10" t="n">
        <v>0.5416666666666666</v>
      </c>
      <c r="D56" t="inlineStr">
        <is>
          <t>游览</t>
        </is>
      </c>
      <c r="E56" t="inlineStr">
        <is>
          <t>廊桥</t>
        </is>
      </c>
      <c r="F56" s="5" t="inlineStr">
        <is>
          <t>回古城附近吃饭</t>
        </is>
      </c>
      <c r="I56">
        <f>IF(OR(G56="",H56=""),"",G56*H56)</f>
        <v/>
      </c>
      <c r="K56" t="inlineStr">
        <is>
          <t>无需预订</t>
        </is>
      </c>
      <c r="L56" t="inlineStr">
        <is>
          <t>廊桥</t>
        </is>
      </c>
    </row>
    <row r="57">
      <c r="A57" s="9" t="n">
        <v>46240</v>
      </c>
      <c r="B57" s="10" t="n">
        <v>0.5416666666666666</v>
      </c>
      <c r="C57" s="10" t="n">
        <v>0.5625</v>
      </c>
      <c r="D57" t="inlineStr">
        <is>
          <t>交通</t>
        </is>
      </c>
      <c r="E57" t="inlineStr">
        <is>
          <t>打车</t>
        </is>
      </c>
      <c r="F57" s="5" t="inlineStr">
        <is>
          <t>回古城附近吃饭</t>
        </is>
      </c>
      <c r="I57">
        <f>IF(OR(G57="",H57=""),"",G57*H57)</f>
        <v/>
      </c>
      <c r="K57" t="inlineStr">
        <is>
          <t>无需预订</t>
        </is>
      </c>
    </row>
    <row r="58">
      <c r="A58" s="9" t="n">
        <v>46240</v>
      </c>
      <c r="B58" s="10" t="n">
        <v>0.5625</v>
      </c>
      <c r="C58" s="10" t="n">
        <v>0.6041666666666666</v>
      </c>
      <c r="D58" t="inlineStr">
        <is>
          <t>餐饮</t>
        </is>
      </c>
      <c r="E58" t="inlineStr">
        <is>
          <t>午餐</t>
        </is>
      </c>
      <c r="F58" s="5" t="n"/>
      <c r="G58" t="n">
        <v>100</v>
      </c>
      <c r="H58" t="n">
        <v>2</v>
      </c>
      <c r="I58">
        <f>IF(OR(G58="",H58=""),"",G58*H58)</f>
        <v/>
      </c>
      <c r="K58" t="inlineStr">
        <is>
          <t>无需预订</t>
        </is>
      </c>
    </row>
    <row r="59">
      <c r="A59" s="9" t="n">
        <v>46240</v>
      </c>
      <c r="B59" s="10" t="n">
        <v>0.6041666666666666</v>
      </c>
      <c r="C59" s="10" t="n">
        <v>0.6458333333333334</v>
      </c>
      <c r="D59" t="inlineStr">
        <is>
          <t>住宿</t>
        </is>
      </c>
      <c r="E59" t="inlineStr">
        <is>
          <t>休息</t>
        </is>
      </c>
      <c r="F59" s="5" t="inlineStr">
        <is>
          <t>大理古城三月街亚朵见野</t>
        </is>
      </c>
      <c r="I59">
        <f>IF(OR(G59="",H59=""),"",G59*H59)</f>
        <v/>
      </c>
      <c r="K59" t="inlineStr">
        <is>
          <t>已购买</t>
        </is>
      </c>
      <c r="L59" t="inlineStr">
        <is>
          <t>大理古城三月街亚朵见野酒店</t>
        </is>
      </c>
    </row>
    <row r="60">
      <c r="A60" s="9" t="n">
        <v>46240</v>
      </c>
      <c r="B60" s="10" t="n">
        <v>0.6527777777777778</v>
      </c>
      <c r="C60" s="10" t="n">
        <v>0.7152777777777778</v>
      </c>
      <c r="D60" t="inlineStr">
        <is>
          <t>游览</t>
        </is>
      </c>
      <c r="E60" t="inlineStr">
        <is>
          <t>三塔</t>
        </is>
      </c>
      <c r="F60" s="5" t="inlineStr">
        <is>
          <t>崇圣寺三塔文化旅游区</t>
        </is>
      </c>
      <c r="G60" t="n">
        <v>75</v>
      </c>
      <c r="H60" t="n">
        <v>2</v>
      </c>
      <c r="I60">
        <f>IF(OR(G60="",H60=""),"",G60*H60)</f>
        <v/>
      </c>
      <c r="K60" t="inlineStr">
        <is>
          <t>无需预订</t>
        </is>
      </c>
      <c r="L60" t="inlineStr">
        <is>
          <t>崇圣寺三塔文化旅游区</t>
        </is>
      </c>
    </row>
    <row r="61">
      <c r="A61" s="9" t="n">
        <v>46240</v>
      </c>
      <c r="B61" s="10" t="n">
        <v>0.7291666666666666</v>
      </c>
      <c r="C61" s="10" t="n">
        <v>0.7708333333333334</v>
      </c>
      <c r="D61" t="inlineStr">
        <is>
          <t>游览</t>
        </is>
      </c>
      <c r="E61" t="inlineStr">
        <is>
          <t>古城逛街</t>
        </is>
      </c>
      <c r="F61" s="5" t="inlineStr">
        <is>
          <t>人民路、床单厂艺术区任选；以喝咖啡、逛小店为主</t>
        </is>
      </c>
      <c r="I61">
        <f>IF(OR(G61="",H61=""),"",G61*H61)</f>
        <v/>
      </c>
      <c r="K61" t="inlineStr">
        <is>
          <t>无需预订</t>
        </is>
      </c>
    </row>
    <row r="62">
      <c r="A62" s="9" t="n">
        <v>46240</v>
      </c>
      <c r="B62" s="10" t="n">
        <v>0.7708333333333334</v>
      </c>
      <c r="C62" s="10" t="n">
        <v>0.8541666666666666</v>
      </c>
      <c r="D62" t="inlineStr">
        <is>
          <t>餐饮</t>
        </is>
      </c>
      <c r="E62" t="inlineStr">
        <is>
          <t>晚餐逛吃</t>
        </is>
      </c>
      <c r="F62" s="5" t="inlineStr">
        <is>
          <t>次日早去丽江，今晚尽量早休息</t>
        </is>
      </c>
      <c r="I62">
        <f>IF(OR(G62="",H62=""),"",G62*H62)</f>
        <v/>
      </c>
      <c r="K62" t="inlineStr">
        <is>
          <t>无需预订</t>
        </is>
      </c>
    </row>
    <row r="63">
      <c r="A63" s="9" t="n">
        <v>46240</v>
      </c>
      <c r="B63" s="10" t="n">
        <v>0.875</v>
      </c>
      <c r="C63" s="10" t="n">
        <v>0.875</v>
      </c>
      <c r="D63" t="inlineStr">
        <is>
          <t>住宿</t>
        </is>
      </c>
      <c r="E63" t="inlineStr">
        <is>
          <t>休息</t>
        </is>
      </c>
      <c r="F63" s="5" t="inlineStr">
        <is>
          <t>大理古城三月街亚朵见野</t>
        </is>
      </c>
      <c r="I63">
        <f>IF(OR(G63="",H63=""),"",G63*H63)</f>
        <v/>
      </c>
      <c r="K63" t="inlineStr">
        <is>
          <t>已购买</t>
        </is>
      </c>
      <c r="L63" t="inlineStr">
        <is>
          <t>大理古城三月街亚朵见野酒店</t>
        </is>
      </c>
    </row>
    <row r="64">
      <c r="A64" s="7" t="n">
        <v>46241</v>
      </c>
      <c r="B64" s="8" t="inlineStr">
        <is>
          <t>大理 · 苍山 · 古城火把节</t>
        </is>
      </c>
    </row>
    <row r="65">
      <c r="A65" s="9" t="n">
        <v>46241</v>
      </c>
      <c r="B65" s="10" t="n">
        <v>0.375</v>
      </c>
      <c r="C65" s="10" t="n">
        <v>0.4166666666666667</v>
      </c>
      <c r="D65" t="inlineStr">
        <is>
          <t>餐饮</t>
        </is>
      </c>
      <c r="E65" t="inlineStr">
        <is>
          <t>早餐</t>
        </is>
      </c>
      <c r="F65" s="5" t="inlineStr">
        <is>
          <t>自然醒，酒店早餐</t>
        </is>
      </c>
      <c r="I65">
        <f>IF(OR(G65="",H65=""),"",G65*H65)</f>
        <v/>
      </c>
      <c r="K65" t="inlineStr">
        <is>
          <t>无需预订</t>
        </is>
      </c>
    </row>
    <row r="66">
      <c r="A66" s="9" t="n">
        <v>46241</v>
      </c>
      <c r="B66" s="10" t="n">
        <v>0.4166666666666667</v>
      </c>
      <c r="C66" s="10" t="n">
        <v>0.4305555555555556</v>
      </c>
      <c r="D66" t="inlineStr">
        <is>
          <t>交通</t>
        </is>
      </c>
      <c r="E66" t="inlineStr">
        <is>
          <t>打车</t>
        </is>
      </c>
      <c r="F66" s="5" t="inlineStr">
        <is>
          <t>去苍山</t>
        </is>
      </c>
      <c r="I66">
        <f>IF(OR(G66="",H66=""),"",G66*H66)</f>
        <v/>
      </c>
      <c r="K66" t="inlineStr">
        <is>
          <t>无需预订</t>
        </is>
      </c>
      <c r="L66" t="inlineStr">
        <is>
          <t>苍山</t>
        </is>
      </c>
    </row>
    <row r="67">
      <c r="A67" s="9" t="n">
        <v>46241</v>
      </c>
      <c r="B67" s="10" t="n">
        <v>0.4375</v>
      </c>
      <c r="C67" s="10" t="n">
        <v>0.5833333333333334</v>
      </c>
      <c r="D67" t="inlineStr">
        <is>
          <t>游览</t>
        </is>
      </c>
      <c r="E67" t="inlineStr">
        <is>
          <t>苍山</t>
        </is>
      </c>
      <c r="F67" s="5" t="inlineStr">
        <is>
          <t>索道，徒步</t>
        </is>
      </c>
      <c r="G67" t="n">
        <v>200</v>
      </c>
      <c r="H67" t="n">
        <v>2</v>
      </c>
      <c r="I67">
        <f>IF(OR(G67="",H67=""),"",G67*H67)</f>
        <v/>
      </c>
      <c r="K67" t="inlineStr">
        <is>
          <t>无需预订</t>
        </is>
      </c>
    </row>
    <row r="68">
      <c r="A68" s="9" t="n">
        <v>46241</v>
      </c>
      <c r="B68" s="10" t="n">
        <v>0.5833333333333334</v>
      </c>
      <c r="C68" s="10" t="n">
        <v>0.6041666666666666</v>
      </c>
      <c r="D68" t="inlineStr">
        <is>
          <t>交通</t>
        </is>
      </c>
      <c r="E68" t="inlineStr">
        <is>
          <t>打车</t>
        </is>
      </c>
      <c r="F68" s="5" t="inlineStr">
        <is>
          <t>回酒店</t>
        </is>
      </c>
      <c r="I68">
        <f>IF(OR(G68="",H68=""),"",G68*H68)</f>
        <v/>
      </c>
      <c r="K68" t="inlineStr">
        <is>
          <t>无需预订</t>
        </is>
      </c>
      <c r="L68" t="inlineStr">
        <is>
          <t>大理古城三月街亚朵见野酒店</t>
        </is>
      </c>
    </row>
    <row r="69">
      <c r="A69" s="9" t="n">
        <v>46241</v>
      </c>
      <c r="B69" s="10" t="n">
        <v>0.6041666666666666</v>
      </c>
      <c r="C69" s="10" t="n">
        <v>0.625</v>
      </c>
      <c r="D69" t="inlineStr">
        <is>
          <t>餐饮</t>
        </is>
      </c>
      <c r="E69" t="inlineStr">
        <is>
          <t>午餐</t>
        </is>
      </c>
      <c r="F69" s="5" t="inlineStr">
        <is>
          <t>鸡豆凉粉、纳西烤肉等，按口味选择</t>
        </is>
      </c>
      <c r="I69">
        <f>IF(OR(G69="",H69=""),"",G69*H69)</f>
        <v/>
      </c>
      <c r="K69" t="inlineStr">
        <is>
          <t>无需预订</t>
        </is>
      </c>
    </row>
    <row r="70">
      <c r="A70" s="9" t="n">
        <v>46241</v>
      </c>
      <c r="B70" s="10" t="n">
        <v>0.625</v>
      </c>
      <c r="C70" s="10" t="n">
        <v>0.6666666666666666</v>
      </c>
      <c r="D70" t="inlineStr">
        <is>
          <t>住宿</t>
        </is>
      </c>
      <c r="E70" t="inlineStr">
        <is>
          <t>休息退房</t>
        </is>
      </c>
      <c r="F70" s="5" t="inlineStr">
        <is>
          <t>放行李</t>
        </is>
      </c>
      <c r="I70">
        <f>IF(OR(G70="",H70=""),"",G70*H70)</f>
        <v/>
      </c>
      <c r="K70" t="inlineStr">
        <is>
          <t>无需预订</t>
        </is>
      </c>
    </row>
    <row r="71">
      <c r="A71" s="9" t="n">
        <v>46241</v>
      </c>
      <c r="B71" s="10" t="n">
        <v>0.6666666666666666</v>
      </c>
      <c r="C71" s="10" t="n">
        <v>0.8541666666666666</v>
      </c>
      <c r="D71" t="inlineStr">
        <is>
          <t>游览</t>
        </is>
      </c>
      <c r="E71" t="inlineStr">
        <is>
          <t>火把节</t>
        </is>
      </c>
      <c r="F71" s="5" t="inlineStr">
        <is>
          <t>三月街火把节</t>
        </is>
      </c>
      <c r="I71">
        <f>IF(OR(G71="",H71=""),"",G71*H71)</f>
        <v/>
      </c>
      <c r="K71" t="inlineStr">
        <is>
          <t>无需预订</t>
        </is>
      </c>
      <c r="L71" t="inlineStr">
        <is>
          <t>三月街</t>
        </is>
      </c>
    </row>
    <row r="72">
      <c r="A72" s="9" t="n">
        <v>46241</v>
      </c>
      <c r="B72" s="10" t="n">
        <v>0.8541666666666666</v>
      </c>
      <c r="C72" s="10" t="n">
        <v>0.8819444444444444</v>
      </c>
      <c r="D72" t="inlineStr">
        <is>
          <t>交通</t>
        </is>
      </c>
      <c r="E72" t="inlineStr">
        <is>
          <t>打车</t>
        </is>
      </c>
      <c r="F72" s="5" t="inlineStr">
        <is>
          <t>拿行李，避开晚间拥堵，回酒店办理入住</t>
        </is>
      </c>
      <c r="I72">
        <f>IF(OR(G72="",H72=""),"",G72*H72)</f>
        <v/>
      </c>
      <c r="K72" t="inlineStr">
        <is>
          <t>无需预订</t>
        </is>
      </c>
      <c r="L72" t="inlineStr">
        <is>
          <t>大理古城三月街亚朵见野酒店</t>
        </is>
      </c>
    </row>
    <row r="73">
      <c r="A73" s="9" t="n">
        <v>46241</v>
      </c>
      <c r="B73" s="10" t="n">
        <v>0.8819444444444444</v>
      </c>
      <c r="C73" s="10" t="n">
        <v>0.8888888888888888</v>
      </c>
      <c r="D73" t="inlineStr">
        <is>
          <t>住宿</t>
        </is>
      </c>
      <c r="E73" t="inlineStr">
        <is>
          <t>入住酒店</t>
        </is>
      </c>
      <c r="F73" s="5" t="inlineStr">
        <is>
          <t>大理洱海公园万达广场亚朵酒店</t>
        </is>
      </c>
      <c r="G73" t="n">
        <v>601</v>
      </c>
      <c r="H73" t="n">
        <v>1</v>
      </c>
      <c r="I73">
        <f>IF(OR(G73="",H73=""),"",G73*H73)</f>
        <v/>
      </c>
      <c r="K73" t="inlineStr">
        <is>
          <t>已购买</t>
        </is>
      </c>
      <c r="L73" t="inlineStr">
        <is>
          <t>大理洱海公园万达广场亚朵酒店</t>
        </is>
      </c>
    </row>
    <row r="74">
      <c r="A74" s="7" t="n">
        <v>46242</v>
      </c>
      <c r="B74" s="8" t="inlineStr">
        <is>
          <t>大理 → 南京 → 苏州</t>
        </is>
      </c>
    </row>
    <row r="75">
      <c r="A75" s="9" t="n">
        <v>46242</v>
      </c>
      <c r="B75" s="10" t="n">
        <v>0.2986111111111111</v>
      </c>
      <c r="C75" s="10" t="n">
        <v>0.3125</v>
      </c>
      <c r="D75" t="inlineStr">
        <is>
          <t>餐饮</t>
        </is>
      </c>
      <c r="E75" t="inlineStr">
        <is>
          <t>早餐</t>
        </is>
      </c>
      <c r="F75" s="5" t="inlineStr">
        <is>
          <t>早起，来不及就打包两份早餐</t>
        </is>
      </c>
      <c r="I75">
        <f>IF(OR(G75="",H75=""),"",G75*H75)</f>
        <v/>
      </c>
      <c r="K75" t="inlineStr">
        <is>
          <t>无需预订</t>
        </is>
      </c>
    </row>
    <row r="76">
      <c r="A76" s="9" t="n">
        <v>46242</v>
      </c>
      <c r="B76" s="10" t="n">
        <v>0.3125</v>
      </c>
      <c r="C76" s="10" t="n">
        <v>0.3333333333333333</v>
      </c>
      <c r="D76" t="inlineStr">
        <is>
          <t>交通</t>
        </is>
      </c>
      <c r="E76" t="inlineStr">
        <is>
          <t>打车</t>
        </is>
      </c>
      <c r="F76" s="5" t="n"/>
      <c r="G76" t="n">
        <v>25</v>
      </c>
      <c r="H76" t="n">
        <v>1</v>
      </c>
      <c r="I76">
        <f>IF(OR(G76="",H76=""),"",G76*H76)</f>
        <v/>
      </c>
      <c r="K76" t="inlineStr">
        <is>
          <t>无需预订</t>
        </is>
      </c>
      <c r="L76" t="inlineStr">
        <is>
          <t>大理凤仪机场</t>
        </is>
      </c>
    </row>
    <row r="77">
      <c r="A77" s="9" t="n">
        <v>46242</v>
      </c>
      <c r="B77" s="10" t="n">
        <v>0.3854166666666667</v>
      </c>
      <c r="C77" s="10" t="n">
        <v>0.5138888888888888</v>
      </c>
      <c r="D77" t="inlineStr">
        <is>
          <t>交通</t>
        </is>
      </c>
      <c r="E77" t="inlineStr">
        <is>
          <t>飞机</t>
        </is>
      </c>
      <c r="F77" s="5" t="inlineStr">
        <is>
          <t>MU9721 大理 南京</t>
        </is>
      </c>
      <c r="G77" t="n">
        <v>1610</v>
      </c>
      <c r="H77" t="n">
        <v>2</v>
      </c>
      <c r="I77">
        <f>IF(OR(G77="",H77=""),"",G77*H77)</f>
        <v/>
      </c>
      <c r="K77" t="inlineStr">
        <is>
          <t>已购买</t>
        </is>
      </c>
      <c r="L77" t="inlineStr">
        <is>
          <t>南京禄口机场</t>
        </is>
      </c>
    </row>
    <row r="78">
      <c r="A78" s="9" t="n">
        <v>46242</v>
      </c>
      <c r="B78" s="10" t="n">
        <v>0.5347222222222222</v>
      </c>
      <c r="C78" s="10" t="n">
        <v>0.5625</v>
      </c>
      <c r="D78" t="inlineStr">
        <is>
          <t>交通</t>
        </is>
      </c>
      <c r="E78" t="inlineStr">
        <is>
          <t>地铁</t>
        </is>
      </c>
      <c r="F78" s="5" t="inlineStr">
        <is>
          <t>S1 号线</t>
        </is>
      </c>
      <c r="G78" t="n">
        <v>4</v>
      </c>
      <c r="H78" t="n">
        <v>2</v>
      </c>
      <c r="I78">
        <f>IF(OR(G78="",H78=""),"",G78*H78)</f>
        <v/>
      </c>
      <c r="K78" t="inlineStr">
        <is>
          <t>无需预订</t>
        </is>
      </c>
      <c r="L78" t="inlineStr">
        <is>
          <t>南京南站</t>
        </is>
      </c>
    </row>
    <row r="79">
      <c r="A79" s="9" t="n">
        <v>46242</v>
      </c>
      <c r="B79" s="10" t="n">
        <v>0.5854166666666667</v>
      </c>
      <c r="C79" s="10" t="n">
        <v>0.6534722222222222</v>
      </c>
      <c r="D79" t="inlineStr">
        <is>
          <t>交通</t>
        </is>
      </c>
      <c r="E79" t="inlineStr">
        <is>
          <t>高铁</t>
        </is>
      </c>
      <c r="F79" s="5" t="inlineStr">
        <is>
          <t>G7521 南京南 苏州园区站</t>
        </is>
      </c>
      <c r="G79" t="n">
        <v>117</v>
      </c>
      <c r="H79" t="n">
        <v>2</v>
      </c>
      <c r="I79">
        <f>IF(OR(G79="",H79=""),"",G79*H79)</f>
        <v/>
      </c>
      <c r="K79" t="inlineStr">
        <is>
          <t>无需预订</t>
        </is>
      </c>
      <c r="L79" t="inlineStr">
        <is>
          <t>苏州园区站</t>
        </is>
      </c>
    </row>
    <row r="80">
      <c r="A80" s="9" t="n">
        <v>46242</v>
      </c>
      <c r="B80" s="10" t="n">
        <v>0.6597222222222222</v>
      </c>
      <c r="C80" s="10" t="n">
        <v>0.6666666666666666</v>
      </c>
      <c r="D80" t="inlineStr">
        <is>
          <t>交通</t>
        </is>
      </c>
      <c r="E80" t="inlineStr">
        <is>
          <t>打车</t>
        </is>
      </c>
      <c r="F80" s="5" t="inlineStr">
        <is>
          <t>无锡落地约 1–1.5 小时；上海落地通常约 2–3 小时，按实际机场调整</t>
        </is>
      </c>
      <c r="G80" t="n">
        <v>10</v>
      </c>
      <c r="H80" t="n">
        <v>1</v>
      </c>
      <c r="I80">
        <f>IF(OR(G80="",H80=""),"",G80*H80)</f>
        <v/>
      </c>
      <c r="K80" t="inlineStr">
        <is>
          <t>无需预订</t>
        </is>
      </c>
      <c r="L80" t="inlineStr">
        <is>
          <t>瑞华四季公寓</t>
        </is>
      </c>
    </row>
  </sheetData>
  <mergeCells count="9">
    <mergeCell ref="B43:L43"/>
    <mergeCell ref="B74:L74"/>
    <mergeCell ref="B64:L64"/>
    <mergeCell ref="B15:L15"/>
    <mergeCell ref="A1:L1"/>
    <mergeCell ref="B5:L5"/>
    <mergeCell ref="B51:L51"/>
    <mergeCell ref="B3:I3"/>
    <mergeCell ref="B27:L27"/>
  </mergeCells>
  <conditionalFormatting sqref="D5:D2000">
    <cfRule type="cellIs" priority="1" operator="equal" dxfId="0">
      <formula>"交通"</formula>
    </cfRule>
    <cfRule type="cellIs" priority="2" operator="equal" dxfId="1">
      <formula>"住宿"</formula>
    </cfRule>
    <cfRule type="cellIs" priority="3" operator="equal" dxfId="2">
      <formula>"游览"</formula>
    </cfRule>
    <cfRule type="cellIs" priority="4" operator="equal" dxfId="3">
      <formula>"餐饮"</formula>
    </cfRule>
    <cfRule type="cellIs" priority="5" operator="equal" dxfId="4">
      <formula>"日常"</formula>
    </cfRule>
    <cfRule type="cellIs" priority="6" operator="equal" dxfId="5">
      <formula>"购物"</formula>
    </cfRule>
    <cfRule type="cellIs" priority="7" operator="equal" dxfId="6">
      <formula>"其他"</formula>
    </cfRule>
  </conditionalFormatting>
  <conditionalFormatting sqref="K5:K2000">
    <cfRule type="cellIs" priority="8" operator="equal" dxfId="7">
      <formula>"无需预订"</formula>
    </cfRule>
    <cfRule type="cellIs" priority="9" operator="equal" dxfId="8">
      <formula>"待购买"</formula>
    </cfRule>
    <cfRule type="cellIs" priority="10" operator="equal" dxfId="8">
      <formula>"待预约"</formula>
    </cfRule>
    <cfRule type="cellIs" priority="11" operator="equal" dxfId="9">
      <formula>"已购买"</formula>
    </cfRule>
    <cfRule type="cellIs" priority="12" operator="equal" dxfId="9">
      <formula>"已预约"</formula>
    </cfRule>
    <cfRule type="cellIs" priority="13" operator="equal" dxfId="9">
      <formula>"已完成"</formula>
    </cfRule>
    <cfRule type="cellIs" priority="14" operator="equal" dxfId="10">
      <formula>"已取消"</formula>
    </cfRule>
  </conditionalFormatting>
  <dataValidations count="3">
    <dataValidation sqref="B5:C2000" showDropDown="0" showInputMessage="0" showErrorMessage="0" allowBlank="0" type="list">
      <formula1>_lists!$A$1:$A$144</formula1>
    </dataValidation>
    <dataValidation sqref="D5:D2000" showDropDown="0" showInputMessage="0" showErrorMessage="0" allowBlank="1" type="list">
      <formula1>_lists!$B$1:$B$7</formula1>
    </dataValidation>
    <dataValidation sqref="K5:K2000" showDropDown="0" showInputMessage="0" showErrorMessage="0" allowBlank="1" type="list">
      <formula1>_lists!$C$1:$C$7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0" t="n">
        <v>0</v>
      </c>
      <c r="B1" t="inlineStr">
        <is>
          <t>交通</t>
        </is>
      </c>
      <c r="C1" t="inlineStr">
        <is>
          <t>无需预订</t>
        </is>
      </c>
    </row>
    <row r="2">
      <c r="A2" s="10" t="n">
        <v>0.006944444444444444</v>
      </c>
      <c r="B2" t="inlineStr">
        <is>
          <t>住宿</t>
        </is>
      </c>
      <c r="C2" t="inlineStr">
        <is>
          <t>待购买</t>
        </is>
      </c>
    </row>
    <row r="3">
      <c r="A3" s="10" t="n">
        <v>0.01388888888888889</v>
      </c>
      <c r="B3" t="inlineStr">
        <is>
          <t>游览</t>
        </is>
      </c>
      <c r="C3" t="inlineStr">
        <is>
          <t>待预约</t>
        </is>
      </c>
    </row>
    <row r="4">
      <c r="A4" s="10" t="n">
        <v>0.02083333333333333</v>
      </c>
      <c r="B4" t="inlineStr">
        <is>
          <t>餐饮</t>
        </is>
      </c>
      <c r="C4" t="inlineStr">
        <is>
          <t>已购买</t>
        </is>
      </c>
    </row>
    <row r="5">
      <c r="A5" s="10" t="n">
        <v>0.02777777777777778</v>
      </c>
      <c r="B5" t="inlineStr">
        <is>
          <t>日常</t>
        </is>
      </c>
      <c r="C5" t="inlineStr">
        <is>
          <t>已预约</t>
        </is>
      </c>
    </row>
    <row r="6">
      <c r="A6" s="10" t="n">
        <v>0.03472222222222222</v>
      </c>
      <c r="B6" t="inlineStr">
        <is>
          <t>购物</t>
        </is>
      </c>
      <c r="C6" t="inlineStr">
        <is>
          <t>已完成</t>
        </is>
      </c>
    </row>
    <row r="7">
      <c r="A7" s="10" t="n">
        <v>0.04166666666666666</v>
      </c>
      <c r="B7" t="inlineStr">
        <is>
          <t>其他</t>
        </is>
      </c>
      <c r="C7" t="inlineStr">
        <is>
          <t>已取消</t>
        </is>
      </c>
    </row>
    <row r="8">
      <c r="A8" s="10" t="n">
        <v>0.04861111111111111</v>
      </c>
    </row>
    <row r="9">
      <c r="A9" s="10" t="n">
        <v>0.05555555555555555</v>
      </c>
    </row>
    <row r="10">
      <c r="A10" s="10" t="n">
        <v>0.0625</v>
      </c>
    </row>
    <row r="11">
      <c r="A11" s="10" t="n">
        <v>0.06944444444444445</v>
      </c>
    </row>
    <row r="12">
      <c r="A12" s="10" t="n">
        <v>0.0763888888888889</v>
      </c>
    </row>
    <row r="13">
      <c r="A13" s="10" t="n">
        <v>0.08333333333333333</v>
      </c>
    </row>
    <row r="14">
      <c r="A14" s="10" t="n">
        <v>0.09027777777777778</v>
      </c>
    </row>
    <row r="15">
      <c r="A15" s="10" t="n">
        <v>0.09722222222222222</v>
      </c>
    </row>
    <row r="16">
      <c r="A16" s="10" t="n">
        <v>0.1041666666666667</v>
      </c>
    </row>
    <row r="17">
      <c r="A17" s="10" t="n">
        <v>0.1111111111111111</v>
      </c>
    </row>
    <row r="18">
      <c r="A18" s="10" t="n">
        <v>0.1180555555555556</v>
      </c>
    </row>
    <row r="19">
      <c r="A19" s="10" t="n">
        <v>0.125</v>
      </c>
    </row>
    <row r="20">
      <c r="A20" s="10" t="n">
        <v>0.1319444444444444</v>
      </c>
    </row>
    <row r="21">
      <c r="A21" s="10" t="n">
        <v>0.1388888888888889</v>
      </c>
    </row>
    <row r="22">
      <c r="A22" s="10" t="n">
        <v>0.1458333333333333</v>
      </c>
    </row>
    <row r="23">
      <c r="A23" s="10" t="n">
        <v>0.1527777777777778</v>
      </c>
    </row>
    <row r="24">
      <c r="A24" s="10" t="n">
        <v>0.1597222222222222</v>
      </c>
    </row>
    <row r="25">
      <c r="A25" s="10" t="n">
        <v>0.1666666666666667</v>
      </c>
    </row>
    <row r="26">
      <c r="A26" s="10" t="n">
        <v>0.1736111111111111</v>
      </c>
    </row>
    <row r="27">
      <c r="A27" s="10" t="n">
        <v>0.1805555555555556</v>
      </c>
    </row>
    <row r="28">
      <c r="A28" s="10" t="n">
        <v>0.1875</v>
      </c>
    </row>
    <row r="29">
      <c r="A29" s="10" t="n">
        <v>0.1944444444444444</v>
      </c>
    </row>
    <row r="30">
      <c r="A30" s="10" t="n">
        <v>0.2013888888888889</v>
      </c>
    </row>
    <row r="31">
      <c r="A31" s="10" t="n">
        <v>0.2083333333333333</v>
      </c>
    </row>
    <row r="32">
      <c r="A32" s="10" t="n">
        <v>0.2152777777777778</v>
      </c>
    </row>
    <row r="33">
      <c r="A33" s="10" t="n">
        <v>0.2222222222222222</v>
      </c>
    </row>
    <row r="34">
      <c r="A34" s="10" t="n">
        <v>0.2291666666666667</v>
      </c>
    </row>
    <row r="35">
      <c r="A35" s="10" t="n">
        <v>0.2361111111111111</v>
      </c>
    </row>
    <row r="36">
      <c r="A36" s="10" t="n">
        <v>0.2430555555555556</v>
      </c>
    </row>
    <row r="37">
      <c r="A37" s="10" t="n">
        <v>0.25</v>
      </c>
    </row>
    <row r="38">
      <c r="A38" s="10" t="n">
        <v>0.2569444444444444</v>
      </c>
    </row>
    <row r="39">
      <c r="A39" s="10" t="n">
        <v>0.2638888888888889</v>
      </c>
    </row>
    <row r="40">
      <c r="A40" s="10" t="n">
        <v>0.2708333333333333</v>
      </c>
    </row>
    <row r="41">
      <c r="A41" s="10" t="n">
        <v>0.2777777777777778</v>
      </c>
    </row>
    <row r="42">
      <c r="A42" s="10" t="n">
        <v>0.2847222222222222</v>
      </c>
    </row>
    <row r="43">
      <c r="A43" s="10" t="n">
        <v>0.2916666666666667</v>
      </c>
    </row>
    <row r="44">
      <c r="A44" s="10" t="n">
        <v>0.2986111111111111</v>
      </c>
    </row>
    <row r="45">
      <c r="A45" s="10" t="n">
        <v>0.3055555555555556</v>
      </c>
    </row>
    <row r="46">
      <c r="A46" s="10" t="n">
        <v>0.3125</v>
      </c>
    </row>
    <row r="47">
      <c r="A47" s="10" t="n">
        <v>0.3194444444444444</v>
      </c>
    </row>
    <row r="48">
      <c r="A48" s="10" t="n">
        <v>0.3263888888888889</v>
      </c>
    </row>
    <row r="49">
      <c r="A49" s="10" t="n">
        <v>0.3333333333333333</v>
      </c>
    </row>
    <row r="50">
      <c r="A50" s="10" t="n">
        <v>0.3402777777777778</v>
      </c>
    </row>
    <row r="51">
      <c r="A51" s="10" t="n">
        <v>0.3472222222222222</v>
      </c>
    </row>
    <row r="52">
      <c r="A52" s="10" t="n">
        <v>0.3541666666666667</v>
      </c>
    </row>
    <row r="53">
      <c r="A53" s="10" t="n">
        <v>0.3611111111111111</v>
      </c>
    </row>
    <row r="54">
      <c r="A54" s="10" t="n">
        <v>0.3680555555555556</v>
      </c>
    </row>
    <row r="55">
      <c r="A55" s="10" t="n">
        <v>0.375</v>
      </c>
    </row>
    <row r="56">
      <c r="A56" s="10" t="n">
        <v>0.3819444444444444</v>
      </c>
    </row>
    <row r="57">
      <c r="A57" s="10" t="n">
        <v>0.3888888888888889</v>
      </c>
    </row>
    <row r="58">
      <c r="A58" s="10" t="n">
        <v>0.3958333333333333</v>
      </c>
    </row>
    <row r="59">
      <c r="A59" s="10" t="n">
        <v>0.4027777777777778</v>
      </c>
    </row>
    <row r="60">
      <c r="A60" s="10" t="n">
        <v>0.4097222222222222</v>
      </c>
    </row>
    <row r="61">
      <c r="A61" s="10" t="n">
        <v>0.4166666666666667</v>
      </c>
    </row>
    <row r="62">
      <c r="A62" s="10" t="n">
        <v>0.4236111111111111</v>
      </c>
    </row>
    <row r="63">
      <c r="A63" s="10" t="n">
        <v>0.4305555555555556</v>
      </c>
    </row>
    <row r="64">
      <c r="A64" s="10" t="n">
        <v>0.4375</v>
      </c>
    </row>
    <row r="65">
      <c r="A65" s="10" t="n">
        <v>0.4444444444444444</v>
      </c>
    </row>
    <row r="66">
      <c r="A66" s="10" t="n">
        <v>0.4513888888888889</v>
      </c>
    </row>
    <row r="67">
      <c r="A67" s="10" t="n">
        <v>0.4583333333333333</v>
      </c>
    </row>
    <row r="68">
      <c r="A68" s="10" t="n">
        <v>0.4652777777777778</v>
      </c>
    </row>
    <row r="69">
      <c r="A69" s="10" t="n">
        <v>0.4722222222222222</v>
      </c>
    </row>
    <row r="70">
      <c r="A70" s="10" t="n">
        <v>0.4791666666666667</v>
      </c>
    </row>
    <row r="71">
      <c r="A71" s="10" t="n">
        <v>0.4861111111111111</v>
      </c>
    </row>
    <row r="72">
      <c r="A72" s="10" t="n">
        <v>0.4930555555555556</v>
      </c>
    </row>
    <row r="73">
      <c r="A73" s="10" t="n">
        <v>0.5</v>
      </c>
    </row>
    <row r="74">
      <c r="A74" s="10" t="n">
        <v>0.5069444444444444</v>
      </c>
    </row>
    <row r="75">
      <c r="A75" s="10" t="n">
        <v>0.5138888888888888</v>
      </c>
    </row>
    <row r="76">
      <c r="A76" s="10" t="n">
        <v>0.5208333333333334</v>
      </c>
    </row>
    <row r="77">
      <c r="A77" s="10" t="n">
        <v>0.5277777777777778</v>
      </c>
    </row>
    <row r="78">
      <c r="A78" s="10" t="n">
        <v>0.5347222222222222</v>
      </c>
    </row>
    <row r="79">
      <c r="A79" s="10" t="n">
        <v>0.5416666666666666</v>
      </c>
    </row>
    <row r="80">
      <c r="A80" s="10" t="n">
        <v>0.5486111111111112</v>
      </c>
    </row>
    <row r="81">
      <c r="A81" s="10" t="n">
        <v>0.5555555555555556</v>
      </c>
    </row>
    <row r="82">
      <c r="A82" s="10" t="n">
        <v>0.5625</v>
      </c>
    </row>
    <row r="83">
      <c r="A83" s="10" t="n">
        <v>0.5694444444444444</v>
      </c>
    </row>
    <row r="84">
      <c r="A84" s="10" t="n">
        <v>0.5763888888888888</v>
      </c>
    </row>
    <row r="85">
      <c r="A85" s="10" t="n">
        <v>0.5833333333333334</v>
      </c>
    </row>
    <row r="86">
      <c r="A86" s="10" t="n">
        <v>0.5902777777777778</v>
      </c>
    </row>
    <row r="87">
      <c r="A87" s="10" t="n">
        <v>0.5972222222222222</v>
      </c>
    </row>
    <row r="88">
      <c r="A88" s="10" t="n">
        <v>0.6041666666666666</v>
      </c>
    </row>
    <row r="89">
      <c r="A89" s="10" t="n">
        <v>0.6111111111111112</v>
      </c>
    </row>
    <row r="90">
      <c r="A90" s="10" t="n">
        <v>0.6180555555555556</v>
      </c>
    </row>
    <row r="91">
      <c r="A91" s="10" t="n">
        <v>0.625</v>
      </c>
    </row>
    <row r="92">
      <c r="A92" s="10" t="n">
        <v>0.6319444444444444</v>
      </c>
    </row>
    <row r="93">
      <c r="A93" s="10" t="n">
        <v>0.6388888888888888</v>
      </c>
    </row>
    <row r="94">
      <c r="A94" s="10" t="n">
        <v>0.6458333333333334</v>
      </c>
    </row>
    <row r="95">
      <c r="A95" s="10" t="n">
        <v>0.6527777777777778</v>
      </c>
    </row>
    <row r="96">
      <c r="A96" s="10" t="n">
        <v>0.6597222222222222</v>
      </c>
    </row>
    <row r="97">
      <c r="A97" s="10" t="n">
        <v>0.6666666666666666</v>
      </c>
    </row>
    <row r="98">
      <c r="A98" s="10" t="n">
        <v>0.6736111111111112</v>
      </c>
    </row>
    <row r="99">
      <c r="A99" s="10" t="n">
        <v>0.6805555555555556</v>
      </c>
    </row>
    <row r="100">
      <c r="A100" s="10" t="n">
        <v>0.6875</v>
      </c>
    </row>
    <row r="101">
      <c r="A101" s="10" t="n">
        <v>0.6944444444444444</v>
      </c>
    </row>
    <row r="102">
      <c r="A102" s="10" t="n">
        <v>0.7013888888888888</v>
      </c>
    </row>
    <row r="103">
      <c r="A103" s="10" t="n">
        <v>0.7083333333333334</v>
      </c>
    </row>
    <row r="104">
      <c r="A104" s="10" t="n">
        <v>0.7152777777777778</v>
      </c>
    </row>
    <row r="105">
      <c r="A105" s="10" t="n">
        <v>0.7222222222222222</v>
      </c>
    </row>
    <row r="106">
      <c r="A106" s="10" t="n">
        <v>0.7291666666666666</v>
      </c>
    </row>
    <row r="107">
      <c r="A107" s="10" t="n">
        <v>0.7361111111111112</v>
      </c>
    </row>
    <row r="108">
      <c r="A108" s="10" t="n">
        <v>0.7430555555555556</v>
      </c>
    </row>
    <row r="109">
      <c r="A109" s="10" t="n">
        <v>0.75</v>
      </c>
    </row>
    <row r="110">
      <c r="A110" s="10" t="n">
        <v>0.7569444444444444</v>
      </c>
    </row>
    <row r="111">
      <c r="A111" s="10" t="n">
        <v>0.7638888888888888</v>
      </c>
    </row>
    <row r="112">
      <c r="A112" s="10" t="n">
        <v>0.7708333333333334</v>
      </c>
    </row>
    <row r="113">
      <c r="A113" s="10" t="n">
        <v>0.7777777777777778</v>
      </c>
    </row>
    <row r="114">
      <c r="A114" s="10" t="n">
        <v>0.7847222222222222</v>
      </c>
    </row>
    <row r="115">
      <c r="A115" s="10" t="n">
        <v>0.7916666666666666</v>
      </c>
    </row>
    <row r="116">
      <c r="A116" s="10" t="n">
        <v>0.7986111111111112</v>
      </c>
    </row>
    <row r="117">
      <c r="A117" s="10" t="n">
        <v>0.8055555555555556</v>
      </c>
    </row>
    <row r="118">
      <c r="A118" s="10" t="n">
        <v>0.8125</v>
      </c>
    </row>
    <row r="119">
      <c r="A119" s="10" t="n">
        <v>0.8194444444444444</v>
      </c>
    </row>
    <row r="120">
      <c r="A120" s="10" t="n">
        <v>0.8263888888888888</v>
      </c>
    </row>
    <row r="121">
      <c r="A121" s="10" t="n">
        <v>0.8333333333333334</v>
      </c>
    </row>
    <row r="122">
      <c r="A122" s="10" t="n">
        <v>0.8402777777777778</v>
      </c>
    </row>
    <row r="123">
      <c r="A123" s="10" t="n">
        <v>0.8472222222222222</v>
      </c>
    </row>
    <row r="124">
      <c r="A124" s="10" t="n">
        <v>0.8541666666666666</v>
      </c>
    </row>
    <row r="125">
      <c r="A125" s="10" t="n">
        <v>0.8611111111111112</v>
      </c>
    </row>
    <row r="126">
      <c r="A126" s="10" t="n">
        <v>0.8680555555555556</v>
      </c>
    </row>
    <row r="127">
      <c r="A127" s="10" t="n">
        <v>0.875</v>
      </c>
    </row>
    <row r="128">
      <c r="A128" s="10" t="n">
        <v>0.8819444444444444</v>
      </c>
    </row>
    <row r="129">
      <c r="A129" s="10" t="n">
        <v>0.8888888888888888</v>
      </c>
    </row>
    <row r="130">
      <c r="A130" s="10" t="n">
        <v>0.8958333333333334</v>
      </c>
    </row>
    <row r="131">
      <c r="A131" s="10" t="n">
        <v>0.9027777777777778</v>
      </c>
    </row>
    <row r="132">
      <c r="A132" s="10" t="n">
        <v>0.9097222222222222</v>
      </c>
    </row>
    <row r="133">
      <c r="A133" s="10" t="n">
        <v>0.9166666666666666</v>
      </c>
    </row>
    <row r="134">
      <c r="A134" s="10" t="n">
        <v>0.9236111111111112</v>
      </c>
    </row>
    <row r="135">
      <c r="A135" s="10" t="n">
        <v>0.9305555555555556</v>
      </c>
    </row>
    <row r="136">
      <c r="A136" s="10" t="n">
        <v>0.9375</v>
      </c>
    </row>
    <row r="137">
      <c r="A137" s="10" t="n">
        <v>0.9444444444444444</v>
      </c>
    </row>
    <row r="138">
      <c r="A138" s="10" t="n">
        <v>0.9513888888888888</v>
      </c>
    </row>
    <row r="139">
      <c r="A139" s="10" t="n">
        <v>0.9583333333333334</v>
      </c>
    </row>
    <row r="140">
      <c r="A140" s="10" t="n">
        <v>0.9652777777777778</v>
      </c>
    </row>
    <row r="141">
      <c r="A141" s="10" t="n">
        <v>0.9722222222222222</v>
      </c>
    </row>
    <row r="142">
      <c r="A142" s="10" t="n">
        <v>0.9791666666666666</v>
      </c>
    </row>
    <row r="143">
      <c r="A143" s="10" t="n">
        <v>0.9861111111111112</v>
      </c>
    </row>
    <row r="144">
      <c r="A144" s="10" t="n">
        <v>0.9930555555555556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digest</t>
        </is>
      </c>
      <c r="B1" t="inlineStr">
        <is>
          <t>8966960330eca9162fd27dd40aa207cf8f8be03ea57aa28e3a81acb5f18476ed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
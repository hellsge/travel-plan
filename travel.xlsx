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60"/>
  </bookViews>
  <sheets>
    <sheet name="26暑期云南" sheetId="1" r:id="rId1"/>
    <sheet name="26清明重庆成都" sheetId="2" r:id="rId2"/>
    <sheet name="模板验证-清明重庆" sheetId="3" r:id="rId3"/>
    <sheet name="25国庆长沙武汉" sheetId="4" r:id="rId4"/>
    <sheet name="25大电烟台威海" sheetId="5" r:id="rId5"/>
    <sheet name="验证" sheetId="6" r:id="rId6"/>
  </sheets>
  <definedNames>
    <definedName name="_xlnm._FilterDatabase" localSheetId="0" hidden="1">'26暑期云南'!$A$4:$K$88</definedName>
    <definedName name="_xlnm._FilterDatabase" localSheetId="2" hidden="1">'模板验证-清明重庆'!$A$4:$K$39</definedName>
    <definedName name="_xlnm.Print_Area" localSheetId="0">'26暑期云南'!$A$1:$L$236</definedName>
    <definedName name="_xlnm.Print_Titles" localSheetId="2">'模板验证-清明重庆'!$1:$4</definedName>
    <definedName name="_xlnm.Print_Area" localSheetId="2">'模板验证-清明重庆'!$A$1:$L$200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<sst xmlns="http://schemas.openxmlformats.org/spreadsheetml/2006/main" count="726" uniqueCount="219">
  <si>
    <t>2026 盛夏 · 上海深圳香港昆明大理轻松旅行计划</t>
  </si>
  <si>
    <t>计划日期</t>
  </si>
  <si>
    <t>人数</t>
  </si>
  <si>
    <t>预计总消费</t>
  </si>
  <si>
    <t>待办数量</t>
  </si>
  <si>
    <t>慢节奏原则：每天只安排 1–2 个核心区域；费用暂未填写，后续在 G/H 列补充后可自动汇总。</t>
  </si>
  <si>
    <t>日期</t>
  </si>
  <si>
    <t>开始</t>
  </si>
  <si>
    <t>结束</t>
  </si>
  <si>
    <t>类型</t>
  </si>
  <si>
    <t>项目</t>
  </si>
  <si>
    <t>路线 / 备注</t>
  </si>
  <si>
    <t>单价</t>
  </si>
  <si>
    <t>数量</t>
  </si>
  <si>
    <t>消费</t>
  </si>
  <si>
    <t>开售 / 预约时间</t>
  </si>
  <si>
    <t>状态</t>
  </si>
  <si>
    <t>地点 / 地图关键词</t>
  </si>
  <si>
    <t>8月2日周日   苏州→ 上海 → 深圳 → 香港</t>
  </si>
  <si>
    <t>日常</t>
  </si>
  <si>
    <t>起床</t>
  </si>
  <si>
    <t>无需预订</t>
  </si>
  <si>
    <t>交通</t>
  </si>
  <si>
    <t>打车</t>
  </si>
  <si>
    <t>家 →  苏州园区</t>
  </si>
  <si>
    <t>苏州园区站</t>
  </si>
  <si>
    <t>高铁</t>
  </si>
  <si>
    <t>G7503 苏州园区 → 上海虹桥</t>
  </si>
  <si>
    <t>已购买</t>
  </si>
  <si>
    <t>上海虹桥站</t>
  </si>
  <si>
    <t>飞机</t>
  </si>
  <si>
    <t>HO1883 上海虹桥 → 深圳宝安</t>
  </si>
  <si>
    <t>深圳宝安国际机场</t>
  </si>
  <si>
    <t>地铁</t>
  </si>
  <si>
    <t>深圳宝安机场 → 福田站</t>
  </si>
  <si>
    <t>福田火车站</t>
  </si>
  <si>
    <t>过关候车</t>
  </si>
  <si>
    <t>福田站 → 九龙</t>
  </si>
  <si>
    <t>待购买</t>
  </si>
  <si>
    <t>香港西九龙站</t>
  </si>
  <si>
    <t>九龙  → 酒店</t>
  </si>
  <si>
    <t>住宿</t>
  </si>
  <si>
    <t>入住</t>
  </si>
  <si>
    <t>都会海逸</t>
  </si>
  <si>
    <t>香港都会海逸酒店</t>
  </si>
  <si>
    <t>游览</t>
  </si>
  <si>
    <t>餐饮</t>
  </si>
  <si>
    <t>8月3日周一  香港 → 深圳 → 昆明</t>
  </si>
  <si>
    <t>早餐</t>
  </si>
  <si>
    <t>退房</t>
  </si>
  <si>
    <t>拿行李</t>
  </si>
  <si>
    <t>酒店 → 西九龙</t>
  </si>
  <si>
    <t>G5806 西九龙 → 福田</t>
  </si>
  <si>
    <t>福田站</t>
  </si>
  <si>
    <t>福田 → 深圳宝安机场</t>
  </si>
  <si>
    <t>CZ6923 深圳 → 昆明</t>
  </si>
  <si>
    <t>昆明长水国际机场</t>
  </si>
  <si>
    <t>6号线 3号线 机场中心 东部汽车站 五一路 A口</t>
  </si>
  <si>
    <t>入住酒店</t>
  </si>
  <si>
    <t>昆明南屏步行街老街桔子水晶酒店</t>
  </si>
  <si>
    <t>附近简单晚餐 / 宵夜</t>
  </si>
  <si>
    <t>过桥米线、汽锅鸡任选；若航班延误可直接休息</t>
  </si>
  <si>
    <t>8月4日周二   昆明 → 大理 · 洱海公园</t>
  </si>
  <si>
    <t>酒店早餐</t>
  </si>
  <si>
    <t>翠湖公园慢走</t>
  </si>
  <si>
    <t>可顺路看云南陆军讲武堂外观；下雨则改为云南省博物馆</t>
  </si>
  <si>
    <t>翠湖公园</t>
  </si>
  <si>
    <t>午餐</t>
  </si>
  <si>
    <t>昆明老街附近就餐，走回酒店</t>
  </si>
  <si>
    <t>休息后退房，延迟退房至15点</t>
  </si>
  <si>
    <t>天气不好的话需要提前10分钟</t>
  </si>
  <si>
    <t>昆明站</t>
  </si>
  <si>
    <t>D3939 昆明 → 大理</t>
  </si>
  <si>
    <t>大理站</t>
  </si>
  <si>
    <t>大理站 → 酒店</t>
  </si>
  <si>
    <t>大理洱海天域英迪格</t>
  </si>
  <si>
    <t>大理洱海天域英迪格酒店</t>
  </si>
  <si>
    <t>休息</t>
  </si>
  <si>
    <t>酒店看海</t>
  </si>
  <si>
    <t>洱海公园</t>
  </si>
  <si>
    <t>洱海散步</t>
  </si>
  <si>
    <t>晚餐</t>
  </si>
  <si>
    <t>附近吃特色晚餐</t>
  </si>
  <si>
    <t>落日</t>
  </si>
  <si>
    <t>8月5日周三   大理 · 洱海西岸</t>
  </si>
  <si>
    <t>早午餐</t>
  </si>
  <si>
    <t>前往酒店</t>
  </si>
  <si>
    <t>大理古城三月街亚朵见野酒店</t>
  </si>
  <si>
    <t>大理古城三月街亚朵见野</t>
  </si>
  <si>
    <t>生态廊道</t>
  </si>
  <si>
    <t>只选一小段散步或骑行 5–8 公里，不环洱海；雨大则改咖啡馆休息；龙龛码头；才村码头</t>
  </si>
  <si>
    <t>大理洱海生态廊道</t>
  </si>
  <si>
    <t>返回酒店</t>
  </si>
  <si>
    <t>返程约 40–60 分钟</t>
  </si>
  <si>
    <t>龙龛码头</t>
  </si>
  <si>
    <t>晚餐与自由活动</t>
  </si>
  <si>
    <t>体力充足再逛古城；否则早点休息</t>
  </si>
  <si>
    <t>才村码头</t>
  </si>
  <si>
    <t>8月6日周四   大理 · 喜洲古镇 · 三塔</t>
  </si>
  <si>
    <t>古城北门早市</t>
  </si>
  <si>
    <t>步行，逛吃，特色</t>
  </si>
  <si>
    <t>喜洲古镇</t>
  </si>
  <si>
    <t>2小时左右</t>
  </si>
  <si>
    <t>廊桥</t>
  </si>
  <si>
    <t>回古城附近吃饭</t>
  </si>
  <si>
    <t>三塔</t>
  </si>
  <si>
    <t>崇圣寺三塔文化旅游区</t>
  </si>
  <si>
    <t>古城逛街</t>
  </si>
  <si>
    <t>人民路、床单厂艺术区任选；以喝咖啡、逛小店为主</t>
  </si>
  <si>
    <t>晚餐逛吃</t>
  </si>
  <si>
    <t>次日早去丽江，今晚尽量早休息</t>
  </si>
  <si>
    <t>8月7日周五   大理 · 苍山 · 古城火把节</t>
  </si>
  <si>
    <t>自然醒，酒店早餐</t>
  </si>
  <si>
    <t>去苍山</t>
  </si>
  <si>
    <t>苍山</t>
  </si>
  <si>
    <t>索道，徒步</t>
  </si>
  <si>
    <t>回酒店</t>
  </si>
  <si>
    <t>鸡豆凉粉、纳西烤肉等，按口味选择</t>
  </si>
  <si>
    <t>休息退房</t>
  </si>
  <si>
    <t>放行李</t>
  </si>
  <si>
    <t>火把节</t>
  </si>
  <si>
    <t>三月街火把节</t>
  </si>
  <si>
    <t>三月街</t>
  </si>
  <si>
    <t>拿行李，避开晚间拥堵，回酒店办理入住</t>
  </si>
  <si>
    <t>大理洱海公园万达广场亚朵酒店</t>
  </si>
  <si>
    <t>8月8日周六   大理 → 南京 → 苏州</t>
  </si>
  <si>
    <t>早起，来不及就打包两份早餐</t>
  </si>
  <si>
    <t>大理凤仪机场</t>
  </si>
  <si>
    <t>MU9721 大理 南京</t>
  </si>
  <si>
    <t>南京禄口机场</t>
  </si>
  <si>
    <t>S1 号线</t>
  </si>
  <si>
    <t>南京南站</t>
  </si>
  <si>
    <t>G7521 南京南 苏州园区站</t>
  </si>
  <si>
    <t>无锡落地约 1–1.5 小时；上海落地通常约 2–3 小时，按实际机场调整</t>
  </si>
  <si>
    <t>瑞华四季公寓</t>
  </si>
  <si>
    <t>开始时间</t>
  </si>
  <si>
    <t>结束时间</t>
  </si>
  <si>
    <t>备注</t>
  </si>
  <si>
    <t>抢票时间</t>
  </si>
  <si>
    <t>购买</t>
  </si>
  <si>
    <t>总消费</t>
  </si>
  <si>
    <t>4月2日周四   苏州-上海-成都</t>
  </si>
  <si>
    <t>家-苏州北</t>
  </si>
  <si>
    <t>☐</t>
  </si>
  <si>
    <t>G739 苏州北-上海虹桥</t>
  </si>
  <si>
    <t>☑</t>
  </si>
  <si>
    <t>MU5447 虹桥-双流</t>
  </si>
  <si>
    <t>汉庭春熙路步行街酒店</t>
  </si>
  <si>
    <t>4月3日周五   成都</t>
  </si>
  <si>
    <t>成都大熊猫繁育基地</t>
  </si>
  <si>
    <t>南门自定义路线</t>
  </si>
  <si>
    <t>观光车</t>
  </si>
  <si>
    <t>午饭</t>
  </si>
  <si>
    <t>成都富力丽思卡尔顿酒店</t>
  </si>
  <si>
    <t>成都博物馆</t>
  </si>
  <si>
    <t>9:00 - 20:30，20:00停止入园</t>
  </si>
  <si>
    <t>太古里</t>
  </si>
  <si>
    <t>晚饭</t>
  </si>
  <si>
    <t>IFS</t>
  </si>
  <si>
    <t>酒店</t>
  </si>
  <si>
    <t>4月4日周六   成都-重庆</t>
  </si>
  <si>
    <t>豪华自助</t>
  </si>
  <si>
    <t>公交车</t>
  </si>
  <si>
    <t>55路</t>
  </si>
  <si>
    <t>武侯祠</t>
  </si>
  <si>
    <t>9:00 - 18:00，17:00 停止入园</t>
  </si>
  <si>
    <t>杜甫草堂</t>
  </si>
  <si>
    <t>9:00 - 18:00，17:30 停止入园</t>
  </si>
  <si>
    <t>宽窄巷子</t>
  </si>
  <si>
    <t>文殊院</t>
  </si>
  <si>
    <t>9:00 - 17:00，16:30 停止入园</t>
  </si>
  <si>
    <t>成都东 - 沙坪坝</t>
  </si>
  <si>
    <t>重庆解放碑步行街城际酒店</t>
  </si>
  <si>
    <t>4月5日周日   重庆</t>
  </si>
  <si>
    <t>4月6日周一  重庆-无锡-苏州</t>
  </si>
  <si>
    <t>check out</t>
  </si>
  <si>
    <t>江北-硕放</t>
  </si>
  <si>
    <t>2026 清明 · 成都重庆旅行计划</t>
  </si>
  <si>
    <t>按执行时间自上而下阅读；蓝色行表示每天的行程分段，黄色状态表示仍需处理。</t>
  </si>
  <si>
    <t>待预约</t>
  </si>
  <si>
    <t>9月30日周六   苏州-长沙-酒店---酒店</t>
  </si>
  <si>
    <t>菁源-苏州北</t>
  </si>
  <si>
    <t>G586/G1377  苏州北-长沙南</t>
  </si>
  <si>
    <t>9月16日（提前14天）</t>
  </si>
  <si>
    <t>2好像 长沙南-五一广场</t>
  </si>
  <si>
    <t>酒店入住</t>
  </si>
  <si>
    <t>桔子水晶</t>
  </si>
  <si>
    <t>done</t>
  </si>
  <si>
    <t>10月1日周日   长沙</t>
  </si>
  <si>
    <t>10月2日周一   长沙-酒店---酒店</t>
  </si>
  <si>
    <t>10月3日周二   长沙-武汉-酒店---酒店</t>
  </si>
  <si>
    <t>10月4日周三   酒店---酒店</t>
  </si>
  <si>
    <t>10月5日周四   酒店---酒店</t>
  </si>
  <si>
    <t>8月02日周六  苏州-济南</t>
  </si>
  <si>
    <t>G230 苏州北-济南</t>
  </si>
  <si>
    <t>桔子</t>
  </si>
  <si>
    <t>8月03日周日   济南</t>
  </si>
  <si>
    <t>8月04日周一   济南 烟台</t>
  </si>
  <si>
    <t>D8151济南东-烟台南</t>
  </si>
  <si>
    <t>全季万达广场店</t>
  </si>
  <si>
    <t>时光塔</t>
  </si>
  <si>
    <t>时光塔-步行800米到孤独的鲸</t>
  </si>
  <si>
    <t>孤独的鲸</t>
  </si>
  <si>
    <t>步行1000米到天空之约-打车到恋烟台礼堂</t>
  </si>
  <si>
    <t>天空之约</t>
  </si>
  <si>
    <t>-步行800米后沙广场-打车到烟台山</t>
  </si>
  <si>
    <t>恋烟台礼堂</t>
  </si>
  <si>
    <t>步行至朝阳街-所城里</t>
  </si>
  <si>
    <t>点外卖或者路上随便</t>
  </si>
  <si>
    <t>8月05日周二   烟台 威海</t>
  </si>
  <si>
    <t>酒店免费</t>
  </si>
  <si>
    <t>东山栈桥</t>
  </si>
  <si>
    <t>渔人码头</t>
  </si>
  <si>
    <t>滨海中路</t>
  </si>
  <si>
    <t>养马岛</t>
  </si>
  <si>
    <t>如家neo 威海昆明路威高广场幸福门店</t>
  </si>
  <si>
    <t>8月6日周四   威海</t>
  </si>
  <si>
    <t>8月7日周五   威海 济南/泰安</t>
  </si>
  <si>
    <t>8月9日周六   济南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</si>
</sst>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h:mm"/>
    <numFmt numFmtId="177" formatCode="h:mm;@"/>
    <numFmt numFmtId="178" formatCode="\¥#,##0.00_);[Red]\(\¥#,##0.00\)"/>
    <numFmt numFmtId="179" formatCode="m&quot;月&quot;d&quot;日&quot;;@"/>
    <numFmt numFmtId="180" formatCode="yyyy\-m\-d"/>
    <numFmt numFmtId="181" formatCode="\¥#,##0.00"/>
    <numFmt numFmtId="182" formatCode="m/d"/>
    <numFmt numFmtId="183" formatCode="m/d\ hh:mm"/>
    <numFmt numFmtId="184" formatCode="上午/下午h&quot;时&quot;mm&quot;分&quot;;@"/>
    <numFmt numFmtId="185" formatCode="yyyy/m/d\ h:mm;@"/>
  </numFmts>
  <fonts count="34">
    <font>
      <sz val="11"/>
      <color theme="1"/>
      <name val="等线"/>
      <charset val="134"/>
      <scheme val="minor"/>
    </font>
    <font>
      <b/>
      <sz val="10"/>
      <color rgb="FF000000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4"/>
      <color rgb="FFFF0000"/>
      <name val="等线"/>
      <charset val="134"/>
      <scheme val="minor"/>
    </font>
    <font>
      <sz val="14"/>
      <color rgb="FFC00000"/>
      <name val="等线"/>
      <charset val="134"/>
      <scheme val="minor"/>
    </font>
    <font>
      <sz val="10"/>
      <color rgb="FF000000"/>
      <name val="等线"/>
      <charset val="134"/>
      <scheme val="minor"/>
    </font>
    <font>
      <b/>
      <sz val="18"/>
      <color rgb="FFFFFFFF"/>
      <name val="微软雅黑"/>
      <charset val="134"/>
    </font>
    <font>
      <b/>
      <sz val="10"/>
      <color rgb="FF1F4E78"/>
      <name val="微软雅黑"/>
      <charset val="134"/>
    </font>
    <font>
      <b/>
      <sz val="11"/>
      <color rgb="FF243447"/>
      <name val="微软雅黑"/>
      <charset val="134"/>
    </font>
    <font>
      <i/>
      <sz val="9"/>
      <color rgb="FF667788"/>
      <name val="微软雅黑"/>
      <charset val="134"/>
    </font>
    <font>
      <b/>
      <sz val="10"/>
      <color rgb="FFFFFFFF"/>
      <name val="微软雅黑"/>
      <charset val="134"/>
    </font>
    <font>
      <b/>
      <sz val="12"/>
      <color rgb="FF1F4E78"/>
      <name val="微软雅黑"/>
      <charset val="134"/>
    </font>
    <font>
      <sz val="10"/>
      <color rgb="FF243447"/>
      <name val="微软雅黑"/>
      <charset val="134"/>
    </font>
    <font>
      <b/>
      <sz val="10"/>
      <color rgb="FF243447"/>
      <name val="微软雅黑"/>
      <charset val="134"/>
    </font>
    <font>
      <b/>
      <sz val="14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 style="thin">
        <color rgb="FFCFD8E3"/>
      </bottom>
      <diagonal/>
    </border>
    <border>
      <left/>
      <right/>
      <top/>
      <bottom style="thin">
        <color rgb="FFCFD8E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6" borderId="5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6">
      <alignment vertical="center"/>
    </xf>
    <xf numFmtId="0" fontId="21" fillId="0" borderId="6">
      <alignment vertical="center"/>
    </xf>
    <xf numFmtId="0" fontId="22" fillId="0" borderId="7">
      <alignment vertical="center"/>
    </xf>
    <xf numFmtId="0" fontId="22" fillId="0" borderId="0">
      <alignment vertical="center"/>
    </xf>
    <xf numFmtId="0" fontId="23" fillId="7" borderId="8">
      <alignment vertical="center"/>
    </xf>
    <xf numFmtId="0" fontId="24" fillId="8" borderId="9">
      <alignment vertical="center"/>
    </xf>
    <xf numFmtId="0" fontId="25" fillId="8" borderId="8">
      <alignment vertical="center"/>
    </xf>
    <xf numFmtId="0" fontId="26" fillId="9" borderId="10">
      <alignment vertical="center"/>
    </xf>
    <xf numFmtId="0" fontId="27" fillId="0" borderId="11">
      <alignment vertical="center"/>
    </xf>
    <xf numFmtId="0" fontId="28" fillId="0" borderId="12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3" fillId="14" borderId="0">
      <alignment vertical="center"/>
    </xf>
    <xf numFmtId="0" fontId="33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32" fillId="36" borderId="0">
      <alignment vertical="center"/>
    </xf>
  </cellStyleXfs>
  <cellXfs count="48">
    <xf numFmtId="0" fontId="0" fillId="0" borderId="0" xfId="0"/>
    <xf numFmtId="176" fontId="0" fillId="0" borderId="0" xfId="0" applyNumberFormat="1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180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81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0" borderId="2" xfId="0" applyBorder="1"/>
    <xf numFmtId="182" fontId="12" fillId="0" borderId="3" xfId="0" applyNumberFormat="1" applyFont="1" applyBorder="1" applyAlignment="1">
      <alignment horizontal="center" vertical="center"/>
    </xf>
    <xf numFmtId="176" fontId="12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81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83" fontId="12" fillId="0" borderId="3" xfId="0" applyNumberFormat="1" applyFont="1" applyBorder="1" applyAlignment="1">
      <alignment horizontal="center" vertical="center" wrapText="1"/>
    </xf>
    <xf numFmtId="182" fontId="12" fillId="5" borderId="3" xfId="0" applyNumberFormat="1" applyFont="1" applyFill="1" applyBorder="1" applyAlignment="1">
      <alignment horizontal="center" vertical="center"/>
    </xf>
    <xf numFmtId="176" fontId="12" fillId="5" borderId="3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 wrapText="1"/>
    </xf>
    <xf numFmtId="181" fontId="12" fillId="5" borderId="3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183" fontId="12" fillId="5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184" fontId="1" fillId="0" borderId="0" xfId="0" applyNumberFormat="1" applyFont="1" applyAlignment="1">
      <alignment horizontal="center" vertical="center"/>
    </xf>
    <xf numFmtId="178" fontId="14" fillId="0" borderId="4" xfId="0" applyNumberFormat="1" applyFont="1" applyBorder="1" applyAlignment="1">
      <alignment horizontal="center" vertical="center"/>
    </xf>
    <xf numFmtId="185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22" fontId="1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76" fontId="13" fillId="0" borderId="3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b val="1"/>
      </font>
      <fill>
        <patternFill patternType="solid">
          <bgColor rgb="FFC9C3B5"/>
        </patternFill>
      </fill>
    </dxf>
    <dxf>
      <font>
        <b val="1"/>
      </font>
      <fill>
        <patternFill patternType="solid">
          <bgColor rgb="FFE6B8CE"/>
        </patternFill>
      </fill>
    </dxf>
    <dxf>
      <font>
        <b val="1"/>
      </font>
      <fill>
        <patternFill patternType="solid">
          <bgColor rgb="FFBFBFBF"/>
        </patternFill>
      </fill>
    </dxf>
    <dxf>
      <font>
        <b val="1"/>
      </font>
      <fill>
        <patternFill patternType="solid">
          <bgColor rgb="FFF4B183"/>
        </patternFill>
      </fill>
    </dxf>
    <dxf>
      <font>
        <b val="1"/>
      </font>
      <fill>
        <patternFill patternType="solid">
          <bgColor rgb="FFA9D18E"/>
        </patternFill>
      </fill>
    </dxf>
    <dxf>
      <font>
        <b val="1"/>
      </font>
      <fill>
        <patternFill patternType="solid">
          <bgColor rgb="FFC9B2D9"/>
        </patternFill>
      </fill>
    </dxf>
    <dxf>
      <font>
        <b val="1"/>
      </font>
      <fill>
        <patternFill patternType="solid">
          <bgColor rgb="FF9DC3E6"/>
        </patternFill>
      </fill>
    </dxf>
    <dxf>
      <font>
        <b val="1"/>
      </font>
      <fill>
        <patternFill patternType="solid">
          <bgColor rgb="FFD9E1F2"/>
        </patternFill>
      </fill>
    </dxf>
    <dxf>
      <font>
        <b val="1"/>
      </font>
      <fill>
        <patternFill patternType="solid">
          <bgColor rgb="FFFFD966"/>
        </patternFill>
      </fill>
    </dxf>
    <dxf>
      <font>
        <b val="1"/>
        <color rgb="FF1F1F1F"/>
      </font>
      <fill>
        <patternFill patternType="solid">
          <fgColor rgb="FF9DC3E6"/>
        </patternFill>
      </fill>
    </dxf>
    <dxf>
      <font>
        <b val="1"/>
        <color rgb="FF1F1F1F"/>
      </font>
      <fill>
        <patternFill patternType="solid">
          <fgColor rgb="FFC9B2E6"/>
        </patternFill>
      </fill>
    </dxf>
    <dxf>
      <font>
        <b val="1"/>
        <color rgb="FF1F1F1F"/>
      </font>
      <fill>
        <patternFill patternType="solid">
          <fgColor rgb="FFA9D18E"/>
        </patternFill>
      </fill>
    </dxf>
    <dxf>
      <font>
        <b val="1"/>
        <color rgb="FF1F1F1F"/>
      </font>
      <fill>
        <patternFill patternType="solid">
          <fgColor rgb="FFF4B183"/>
        </patternFill>
      </fill>
    </dxf>
    <dxf>
      <font>
        <b val="1"/>
        <color rgb="FF1F1F1F"/>
      </font>
      <fill>
        <patternFill patternType="solid">
          <fgColor rgb="FFD9E1F2"/>
        </patternFill>
      </fill>
    </dxf>
    <dxf>
      <font>
        <b val="1"/>
        <color rgb="FF1F1F1F"/>
      </font>
      <fill>
        <patternFill patternType="solid">
          <fgColor rgb="FFF4B6C2"/>
        </patternFill>
      </fill>
    </dxf>
    <dxf>
      <font>
        <b val="1"/>
        <color rgb="FF1F1F1F"/>
      </font>
      <fill>
        <patternFill patternType="solid">
          <fgColor rgb="FFC9C0B5"/>
        </patternFill>
      </fill>
    </dxf>
    <dxf>
      <font>
        <b val="1"/>
        <color rgb="FF1F1F1F"/>
      </font>
      <fill>
        <patternFill patternType="solid">
          <fgColor rgb="FFFFE699"/>
        </patternFill>
      </fill>
    </dxf>
    <dxf>
      <font>
        <b val="1"/>
        <color rgb="FF1F1F1F"/>
      </font>
      <fill>
        <patternFill patternType="solid">
          <fgColor rgb="FFC6E0B4"/>
        </patternFill>
      </fill>
    </dxf>
    <dxf>
      <font>
        <b val="1"/>
        <color rgb="FF1F1F1F"/>
      </font>
      <fill>
        <patternFill patternType="solid">
          <fgColor rgb="FFDDEBF7"/>
        </patternFill>
      </fill>
    </dxf>
    <dxf>
      <font>
        <b val="1"/>
        <color rgb="FF1F1F1F"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  <pageSetUpPr fitToPage="1"/>
  </sheetPr>
  <dimension ref="A1:Z238"/>
  <sheetViews>
    <sheetView showGridLines="0" tabSelected="1" workbookViewId="0">
      <pane ySplit="4" topLeftCell="A53" activePane="bottomLeft" state="frozen"/>
      <selection/>
      <selection pane="bottomLeft" activeCell="S79" sqref="S79"/>
    </sheetView>
  </sheetViews>
  <sheetFormatPr defaultColWidth="9" defaultRowHeight="14.25"/>
  <cols>
    <col min="1" max="1" width="8.75" style="14" customWidth="1"/>
    <col min="2" max="3" width="10.25" style="14" customWidth="1"/>
    <col min="4" max="4" width="8.75" style="14" customWidth="1"/>
    <col min="5" max="5" width="20.375" style="14" customWidth="1"/>
    <col min="6" max="6" width="64.625" style="41" customWidth="1"/>
    <col min="7" max="7" width="9.625" style="14" customWidth="1"/>
    <col min="8" max="8" width="10.625" style="14" customWidth="1"/>
    <col min="9" max="9" width="9.25" style="14" customWidth="1"/>
    <col min="10" max="10" width="16.75" style="14" customWidth="1"/>
    <col min="11" max="11" width="8.75" style="14" customWidth="1"/>
    <col min="12" max="12" width="31.625" style="42" customWidth="1"/>
    <col min="13" max="13" width="5.875" customWidth="1"/>
    <col min="14" max="14" width="9" style="14" customWidth="1"/>
    <col min="15" max="15" width="12.875" style="14" customWidth="1"/>
    <col min="16" max="16" width="5.125" style="14" customWidth="1"/>
    <col min="17" max="18" width="9" style="14" customWidth="1"/>
    <col min="19" max="19" width="13.75" style="14" customWidth="1"/>
    <col min="20" max="16384" width="9" style="14" customWidth="1"/>
  </cols>
  <sheetData>
    <row r="1" ht="36" customHeight="1" spans="1:12">
      <c r="A1" s="15" t="s">
        <v>0</v>
      </c>
    </row>
    <row r="2" ht="24.95" customHeight="1" spans="1:12">
      <c r="A2" s="16" t="s">
        <v>1</v>
      </c>
      <c r="B2" s="17">
        <v>46236</v>
      </c>
      <c r="C2" s="17">
        <v>46242</v>
      </c>
      <c r="D2" s="16" t="s">
        <v>2</v>
      </c>
      <c r="E2" s="18">
        <v>2</v>
      </c>
      <c r="G2" s="16" t="s">
        <v>3</v>
      </c>
      <c r="H2" s="19">
        <f>SUM(I8:I235)</f>
        <v>14569.18</v>
      </c>
      <c r="J2" s="16" t="s">
        <v>4</v>
      </c>
      <c r="K2" s="18">
        <f>COUNTIF(K6:K235,"待购买")+COUNTIF(K20:K235,"待预约")</f>
        <v>2</v>
      </c>
    </row>
    <row r="3" ht="21" customHeight="1" spans="1:12">
      <c r="A3" s="20" t="s">
        <v>5</v>
      </c>
    </row>
    <row r="4" ht="26.1" customHeight="1" spans="1:12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43" t="s">
        <v>11</v>
      </c>
      <c r="G4" s="21" t="s">
        <v>12</v>
      </c>
      <c r="H4" s="21" t="s">
        <v>13</v>
      </c>
      <c r="I4" s="21" t="s">
        <v>14</v>
      </c>
      <c r="J4" s="21" t="s">
        <v>15</v>
      </c>
      <c r="K4" s="21" t="s">
        <v>16</v>
      </c>
      <c r="L4" s="43" t="s">
        <v>17</v>
      </c>
    </row>
    <row r="5" ht="27" customHeight="1" spans="1:12">
      <c r="A5" s="22" t="s">
        <v>18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44"/>
    </row>
    <row r="6" ht="24.95" customHeight="1" spans="1:12">
      <c r="A6" s="24">
        <v>46236</v>
      </c>
      <c r="B6" s="25">
        <v>0.263888888888889</v>
      </c>
      <c r="C6" s="25">
        <v>0.284722222222222</v>
      </c>
      <c r="D6" s="26" t="s">
        <v>19</v>
      </c>
      <c r="E6" s="27" t="s">
        <v>20</v>
      </c>
      <c r="F6" s="27"/>
      <c r="G6" s="28">
        <v>0</v>
      </c>
      <c r="H6" s="29">
        <v>0</v>
      </c>
      <c r="I6" s="28">
        <f t="shared" ref="I6:I19" si="0">IF(OR(G6="",H6=""),"",G6*H6)</f>
        <v>0</v>
      </c>
      <c r="J6" s="45"/>
      <c r="K6" s="26" t="s">
        <v>21</v>
      </c>
    </row>
    <row r="7" ht="24.95" customHeight="1" spans="1:12">
      <c r="A7" s="24">
        <v>46236</v>
      </c>
      <c r="B7" s="25">
        <v>0.291666666666667</v>
      </c>
      <c r="C7" s="25">
        <v>0.298611111111111</v>
      </c>
      <c r="D7" s="26" t="s">
        <v>22</v>
      </c>
      <c r="E7" s="27" t="s">
        <v>23</v>
      </c>
      <c r="F7" s="27" t="s">
        <v>24</v>
      </c>
      <c r="G7" s="28">
        <v>10</v>
      </c>
      <c r="H7" s="29">
        <v>1</v>
      </c>
      <c r="I7" s="28">
        <f t="shared" si="0"/>
        <v>10</v>
      </c>
      <c r="J7" s="45"/>
      <c r="K7" s="26" t="s">
        <v>21</v>
      </c>
      <c r="L7" s="46" t="s">
        <v>25</v>
      </c>
    </row>
    <row r="8" ht="24.95" customHeight="1" spans="1:12">
      <c r="A8" s="24">
        <v>46236</v>
      </c>
      <c r="B8" s="47">
        <v>0.311111111111111</v>
      </c>
      <c r="C8" s="47">
        <v>0.332638888888889</v>
      </c>
      <c r="D8" s="26" t="s">
        <v>22</v>
      </c>
      <c r="E8" s="27" t="s">
        <v>26</v>
      </c>
      <c r="F8" s="27" t="s">
        <v>27</v>
      </c>
      <c r="G8" s="28">
        <v>38</v>
      </c>
      <c r="H8" s="29">
        <v>2</v>
      </c>
      <c r="I8" s="28">
        <f t="shared" si="0"/>
        <v>76</v>
      </c>
      <c r="J8" s="45">
        <v>46235</v>
      </c>
      <c r="K8" s="26" t="s">
        <v>28</v>
      </c>
      <c r="L8" s="46" t="s">
        <v>29</v>
      </c>
    </row>
    <row r="9" ht="24.95" customHeight="1" spans="1:12">
      <c r="A9" s="24">
        <v>46236</v>
      </c>
      <c r="B9" s="47">
        <v>0.409722222222222</v>
      </c>
      <c r="C9" s="47">
        <v>0.513888888888889</v>
      </c>
      <c r="D9" s="26" t="s">
        <v>22</v>
      </c>
      <c r="E9" s="27" t="s">
        <v>30</v>
      </c>
      <c r="F9" s="27" t="s">
        <v>31</v>
      </c>
      <c r="G9" s="28">
        <v>866</v>
      </c>
      <c r="H9" s="29">
        <v>2</v>
      </c>
      <c r="I9" s="28">
        <f t="shared" si="0"/>
        <v>1732</v>
      </c>
      <c r="J9" s="30"/>
      <c r="K9" s="26" t="s">
        <v>28</v>
      </c>
      <c r="L9" s="46" t="s">
        <v>32</v>
      </c>
    </row>
    <row r="10" ht="24.95" customHeight="1" spans="1:12">
      <c r="A10" s="24">
        <v>46236</v>
      </c>
      <c r="B10" s="25">
        <v>0.541666666666667</v>
      </c>
      <c r="C10" s="25">
        <v>0.569444444444444</v>
      </c>
      <c r="D10" s="26" t="s">
        <v>22</v>
      </c>
      <c r="E10" s="27" t="s">
        <v>33</v>
      </c>
      <c r="F10" s="27" t="s">
        <v>34</v>
      </c>
      <c r="G10" s="28">
        <v>8</v>
      </c>
      <c r="H10" s="29">
        <v>0</v>
      </c>
      <c r="I10" s="28">
        <f t="shared" si="0"/>
        <v>0</v>
      </c>
      <c r="J10" s="30"/>
      <c r="K10" s="26" t="s">
        <v>21</v>
      </c>
      <c r="L10" s="46" t="s">
        <v>35</v>
      </c>
    </row>
    <row r="11" ht="24.95" customHeight="1" spans="1:12">
      <c r="A11" s="24">
        <v>46236</v>
      </c>
      <c r="B11" s="25">
        <v>0.569444444444444</v>
      </c>
      <c r="C11" s="25">
        <v>0.597222222222222</v>
      </c>
      <c r="D11" s="26" t="s">
        <v>22</v>
      </c>
      <c r="E11" s="27" t="s">
        <v>26</v>
      </c>
      <c r="F11" s="27" t="s">
        <v>36</v>
      </c>
      <c r="G11" s="28">
        <v>0</v>
      </c>
      <c r="H11" s="29">
        <v>1</v>
      </c>
      <c r="I11" s="28">
        <f t="shared" si="0"/>
        <v>0</v>
      </c>
      <c r="J11" s="30"/>
      <c r="K11" s="26" t="s">
        <v>21</v>
      </c>
    </row>
    <row r="12" ht="24.95" customHeight="1" spans="1:12">
      <c r="A12" s="24">
        <v>46236</v>
      </c>
      <c r="B12" s="25">
        <v>0.604166666666667</v>
      </c>
      <c r="C12" s="25">
        <v>0.618055555555556</v>
      </c>
      <c r="D12" s="26" t="s">
        <v>22</v>
      </c>
      <c r="E12" s="27" t="s">
        <v>26</v>
      </c>
      <c r="F12" s="27" t="s">
        <v>37</v>
      </c>
      <c r="G12" s="28">
        <v>68</v>
      </c>
      <c r="H12" s="29">
        <v>2</v>
      </c>
      <c r="I12" s="28">
        <f t="shared" si="0"/>
        <v>136</v>
      </c>
      <c r="J12" s="45">
        <v>46236.5833333333</v>
      </c>
      <c r="K12" s="26" t="s">
        <v>38</v>
      </c>
      <c r="L12" s="46" t="s">
        <v>39</v>
      </c>
    </row>
    <row r="13" ht="24.95" customHeight="1" spans="1:12">
      <c r="A13" s="24">
        <v>46236</v>
      </c>
      <c r="B13" s="25">
        <v>0.625</v>
      </c>
      <c r="C13" s="25">
        <v>0.638888888888889</v>
      </c>
      <c r="D13" s="26" t="s">
        <v>22</v>
      </c>
      <c r="E13" s="27" t="s">
        <v>33</v>
      </c>
      <c r="F13" s="27" t="s">
        <v>40</v>
      </c>
      <c r="G13" s="28">
        <v>4</v>
      </c>
      <c r="H13" s="29">
        <v>2</v>
      </c>
      <c r="I13" s="28">
        <f t="shared" si="0"/>
        <v>8</v>
      </c>
      <c r="J13" s="30"/>
      <c r="K13" s="26" t="s">
        <v>21</v>
      </c>
    </row>
    <row r="14" ht="24.95" customHeight="1" spans="1:12">
      <c r="A14" s="24">
        <v>46236</v>
      </c>
      <c r="B14" s="25">
        <v>0.645833333333333</v>
      </c>
      <c r="C14" s="25">
        <v>0.652777777777778</v>
      </c>
      <c r="D14" s="26" t="s">
        <v>41</v>
      </c>
      <c r="E14" s="27" t="s">
        <v>42</v>
      </c>
      <c r="F14" s="27" t="s">
        <v>43</v>
      </c>
      <c r="G14" s="28">
        <v>716.89</v>
      </c>
      <c r="H14" s="29">
        <v>1</v>
      </c>
      <c r="I14" s="28">
        <f t="shared" si="0"/>
        <v>716.89</v>
      </c>
      <c r="J14" s="30"/>
      <c r="K14" s="26" t="s">
        <v>28</v>
      </c>
      <c r="L14" s="46" t="s">
        <v>44</v>
      </c>
    </row>
    <row r="15" ht="24.95" customHeight="1" spans="1:12">
      <c r="A15" s="24">
        <v>46236</v>
      </c>
      <c r="B15" s="25"/>
      <c r="C15" s="25"/>
      <c r="D15" s="26" t="s">
        <v>22</v>
      </c>
      <c r="E15" s="27"/>
      <c r="F15" s="27"/>
      <c r="G15" s="28"/>
      <c r="H15" s="29"/>
      <c r="I15" s="28" t="str">
        <f t="shared" si="0"/>
        <v/>
      </c>
      <c r="J15" s="30"/>
      <c r="K15" s="26" t="s">
        <v>21</v>
      </c>
    </row>
    <row r="16" ht="24.95" customHeight="1" spans="1:12">
      <c r="A16" s="24">
        <v>46236</v>
      </c>
      <c r="B16" s="25"/>
      <c r="C16" s="25"/>
      <c r="D16" s="26" t="s">
        <v>45</v>
      </c>
      <c r="E16" s="27"/>
      <c r="F16" s="27"/>
      <c r="G16" s="28"/>
      <c r="H16" s="29"/>
      <c r="I16" s="28" t="str">
        <f t="shared" si="0"/>
        <v/>
      </c>
      <c r="J16" s="30"/>
      <c r="K16" s="26" t="s">
        <v>21</v>
      </c>
    </row>
    <row r="17" ht="24.95" customHeight="1" spans="1:12">
      <c r="A17" s="24">
        <v>46236</v>
      </c>
      <c r="B17" s="25"/>
      <c r="C17" s="25"/>
      <c r="D17" s="26" t="s">
        <v>22</v>
      </c>
      <c r="E17" s="27"/>
      <c r="F17" s="27"/>
      <c r="G17" s="28"/>
      <c r="H17" s="29"/>
      <c r="I17" s="28" t="str">
        <f t="shared" si="0"/>
        <v/>
      </c>
      <c r="J17" s="30"/>
      <c r="K17" s="26" t="s">
        <v>21</v>
      </c>
    </row>
    <row r="18" ht="24.95" customHeight="1" spans="1:12">
      <c r="A18" s="24">
        <v>46236</v>
      </c>
      <c r="B18" s="25"/>
      <c r="C18" s="25"/>
      <c r="D18" s="26" t="s">
        <v>46</v>
      </c>
      <c r="E18" s="27"/>
      <c r="F18" s="27"/>
      <c r="G18" s="28"/>
      <c r="H18" s="29"/>
      <c r="I18" s="28" t="str">
        <f t="shared" si="0"/>
        <v/>
      </c>
      <c r="J18" s="30"/>
      <c r="K18" s="26" t="s">
        <v>21</v>
      </c>
    </row>
    <row r="19" ht="24.95" customHeight="1" spans="1:12">
      <c r="A19" s="24">
        <v>46236</v>
      </c>
      <c r="B19" s="25"/>
      <c r="C19" s="25"/>
      <c r="D19" s="26" t="s">
        <v>22</v>
      </c>
      <c r="E19" s="27"/>
      <c r="F19" s="27"/>
      <c r="G19" s="28"/>
      <c r="H19" s="29"/>
      <c r="I19" s="28" t="str">
        <f t="shared" si="0"/>
        <v/>
      </c>
      <c r="J19" s="30"/>
      <c r="K19" s="26" t="s">
        <v>21</v>
      </c>
    </row>
    <row r="20" ht="27" customHeight="1" spans="1:12">
      <c r="A20" s="22" t="s">
        <v>47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44"/>
    </row>
    <row r="21" ht="24.95" customHeight="1" spans="1:12">
      <c r="A21" s="24">
        <v>46237</v>
      </c>
      <c r="B21" s="25">
        <v>0.333333333333333</v>
      </c>
      <c r="C21" s="25">
        <v>0.347222222222222</v>
      </c>
      <c r="D21" s="26" t="s">
        <v>19</v>
      </c>
      <c r="E21" s="27" t="s">
        <v>20</v>
      </c>
      <c r="F21" s="27"/>
      <c r="G21" s="28">
        <v>0</v>
      </c>
      <c r="H21" s="29">
        <v>0</v>
      </c>
      <c r="I21" s="28">
        <f t="shared" ref="I21:I36" si="1">IF(OR(G21="",H21=""),"",G21*H21)</f>
        <v>0</v>
      </c>
      <c r="J21" s="45"/>
      <c r="K21" s="26" t="s">
        <v>21</v>
      </c>
    </row>
    <row r="22" ht="24.95" customHeight="1" spans="1:12">
      <c r="A22" s="24">
        <v>46237</v>
      </c>
      <c r="B22" s="25">
        <v>0.354166666666667</v>
      </c>
      <c r="C22" s="25">
        <v>0.375</v>
      </c>
      <c r="D22" s="26" t="s">
        <v>46</v>
      </c>
      <c r="E22" s="27" t="s">
        <v>48</v>
      </c>
      <c r="F22" s="27"/>
      <c r="G22" s="28"/>
      <c r="H22" s="29"/>
      <c r="I22" s="28" t="str">
        <f t="shared" si="1"/>
        <v/>
      </c>
      <c r="J22" s="30"/>
      <c r="K22" s="26" t="s">
        <v>21</v>
      </c>
    </row>
    <row r="23" ht="24.95" customHeight="1" spans="1:12">
      <c r="A23" s="24">
        <v>46237</v>
      </c>
      <c r="B23" s="25">
        <v>0.375</v>
      </c>
      <c r="C23" s="25">
        <v>0.395833333333333</v>
      </c>
      <c r="D23" s="26" t="s">
        <v>22</v>
      </c>
      <c r="E23" s="27"/>
      <c r="F23" s="27"/>
      <c r="G23" s="28"/>
      <c r="H23" s="29"/>
      <c r="I23" s="28" t="str">
        <f t="shared" si="1"/>
        <v/>
      </c>
      <c r="J23" s="30"/>
      <c r="K23" s="26" t="s">
        <v>21</v>
      </c>
    </row>
    <row r="24" ht="24.95" customHeight="1" spans="1:12">
      <c r="A24" s="24">
        <v>46237</v>
      </c>
      <c r="B24" s="25">
        <v>0.451388888888889</v>
      </c>
      <c r="C24" s="25">
        <v>0.458333333333333</v>
      </c>
      <c r="D24" s="26" t="s">
        <v>41</v>
      </c>
      <c r="E24" s="27" t="s">
        <v>49</v>
      </c>
      <c r="F24" s="27"/>
      <c r="G24" s="28"/>
      <c r="H24" s="29"/>
      <c r="I24" s="28" t="str">
        <f t="shared" si="1"/>
        <v/>
      </c>
      <c r="J24" s="30"/>
      <c r="K24" s="26" t="s">
        <v>21</v>
      </c>
    </row>
    <row r="25" ht="24.95" customHeight="1" spans="1:12">
      <c r="A25" s="24">
        <v>46237</v>
      </c>
      <c r="B25" s="25"/>
      <c r="C25" s="25"/>
      <c r="D25" s="26" t="s">
        <v>45</v>
      </c>
      <c r="E25" s="27"/>
      <c r="F25" s="27"/>
      <c r="G25" s="28"/>
      <c r="H25" s="29"/>
      <c r="I25" s="28" t="str">
        <f t="shared" si="1"/>
        <v/>
      </c>
      <c r="J25" s="30"/>
      <c r="K25" s="26" t="s">
        <v>21</v>
      </c>
    </row>
    <row r="26" ht="24.95" customHeight="1" spans="1:12">
      <c r="A26" s="24">
        <v>46237</v>
      </c>
      <c r="B26" s="25"/>
      <c r="C26" s="25"/>
      <c r="D26" s="26" t="s">
        <v>22</v>
      </c>
      <c r="E26" s="27"/>
      <c r="F26" s="27"/>
      <c r="G26" s="28"/>
      <c r="H26" s="29"/>
      <c r="I26" s="28" t="str">
        <f t="shared" si="1"/>
        <v/>
      </c>
      <c r="J26" s="30"/>
      <c r="K26" s="26" t="s">
        <v>21</v>
      </c>
    </row>
    <row r="27" ht="24.95" customHeight="1" spans="1:12">
      <c r="A27" s="24">
        <v>46237</v>
      </c>
      <c r="B27" s="25"/>
      <c r="C27" s="25"/>
      <c r="D27" s="26" t="s">
        <v>46</v>
      </c>
      <c r="E27" s="27"/>
      <c r="F27" s="27"/>
      <c r="G27" s="28"/>
      <c r="H27" s="29"/>
      <c r="I27" s="28" t="str">
        <f t="shared" si="1"/>
        <v/>
      </c>
      <c r="J27" s="30"/>
      <c r="K27" s="26" t="s">
        <v>21</v>
      </c>
    </row>
    <row r="28" ht="24.95" customHeight="1" spans="1:12">
      <c r="A28" s="24">
        <v>46237</v>
      </c>
      <c r="B28" s="25"/>
      <c r="C28" s="25"/>
      <c r="D28" s="26" t="s">
        <v>22</v>
      </c>
      <c r="E28" s="27"/>
      <c r="F28" s="27"/>
      <c r="G28" s="28"/>
      <c r="H28" s="29"/>
      <c r="I28" s="28" t="str">
        <f t="shared" si="1"/>
        <v/>
      </c>
      <c r="J28" s="30"/>
      <c r="K28" s="26" t="s">
        <v>21</v>
      </c>
    </row>
    <row r="29" ht="24.95" customHeight="1" spans="1:12">
      <c r="A29" s="24">
        <v>46237</v>
      </c>
      <c r="B29" s="25">
        <v>0.611111111111111</v>
      </c>
      <c r="C29" s="25">
        <v>0.618055555555556</v>
      </c>
      <c r="D29" s="26" t="s">
        <v>41</v>
      </c>
      <c r="E29" s="27" t="s">
        <v>49</v>
      </c>
      <c r="F29" s="27" t="s">
        <v>50</v>
      </c>
      <c r="G29" s="28"/>
      <c r="H29" s="29"/>
      <c r="I29" s="28" t="str">
        <f t="shared" si="1"/>
        <v/>
      </c>
      <c r="J29" s="30"/>
      <c r="K29" s="26" t="s">
        <v>21</v>
      </c>
    </row>
    <row r="30" ht="24.95" customHeight="1" spans="1:12">
      <c r="A30" s="24">
        <v>46237</v>
      </c>
      <c r="B30" s="25">
        <v>0.618055555555556</v>
      </c>
      <c r="C30" s="25">
        <v>0.631944444444444</v>
      </c>
      <c r="D30" s="26" t="s">
        <v>22</v>
      </c>
      <c r="E30" s="27" t="s">
        <v>33</v>
      </c>
      <c r="F30" s="27" t="s">
        <v>51</v>
      </c>
      <c r="G30" s="28">
        <v>4</v>
      </c>
      <c r="H30" s="29">
        <v>2</v>
      </c>
      <c r="I30" s="28">
        <f t="shared" si="1"/>
        <v>8</v>
      </c>
      <c r="J30" s="30"/>
      <c r="K30" s="26" t="s">
        <v>21</v>
      </c>
      <c r="L30" s="46" t="s">
        <v>39</v>
      </c>
    </row>
    <row r="31" ht="24.95" customHeight="1" spans="1:12">
      <c r="A31" s="24">
        <v>46237</v>
      </c>
      <c r="B31" s="25">
        <v>0.64375</v>
      </c>
      <c r="C31" s="25">
        <v>0.653472222222222</v>
      </c>
      <c r="D31" s="26" t="s">
        <v>22</v>
      </c>
      <c r="E31" s="27" t="s">
        <v>26</v>
      </c>
      <c r="F31" s="27" t="s">
        <v>52</v>
      </c>
      <c r="G31" s="28">
        <v>68</v>
      </c>
      <c r="H31" s="29">
        <v>2</v>
      </c>
      <c r="I31" s="28">
        <f t="shared" si="1"/>
        <v>136</v>
      </c>
      <c r="J31" s="30"/>
      <c r="K31" s="26" t="s">
        <v>38</v>
      </c>
      <c r="L31" s="46" t="s">
        <v>53</v>
      </c>
    </row>
    <row r="32" ht="24.95" customHeight="1" spans="1:12">
      <c r="A32" s="24">
        <v>46237</v>
      </c>
      <c r="B32" s="25">
        <v>0.680555555555556</v>
      </c>
      <c r="C32" s="25">
        <v>0.708333333333333</v>
      </c>
      <c r="D32" s="26" t="s">
        <v>22</v>
      </c>
      <c r="E32" s="27" t="s">
        <v>33</v>
      </c>
      <c r="F32" s="27" t="s">
        <v>54</v>
      </c>
      <c r="G32" s="28">
        <v>8</v>
      </c>
      <c r="H32" s="29">
        <v>2</v>
      </c>
      <c r="I32" s="28">
        <f t="shared" si="1"/>
        <v>16</v>
      </c>
      <c r="J32" s="30"/>
      <c r="K32" s="26" t="s">
        <v>21</v>
      </c>
      <c r="L32" s="46" t="s">
        <v>32</v>
      </c>
    </row>
    <row r="33" ht="24.95" customHeight="1" spans="1:12">
      <c r="A33" s="24">
        <v>46237</v>
      </c>
      <c r="B33" s="47">
        <v>0.767361111111111</v>
      </c>
      <c r="C33" s="47">
        <v>0.875</v>
      </c>
      <c r="D33" s="26" t="s">
        <v>22</v>
      </c>
      <c r="E33" s="27" t="s">
        <v>30</v>
      </c>
      <c r="F33" s="27" t="s">
        <v>55</v>
      </c>
      <c r="G33" s="28">
        <v>1110</v>
      </c>
      <c r="H33" s="29">
        <v>2</v>
      </c>
      <c r="I33" s="28">
        <f t="shared" si="1"/>
        <v>2220</v>
      </c>
      <c r="J33" s="30"/>
      <c r="K33" s="26" t="s">
        <v>28</v>
      </c>
      <c r="L33" s="46" t="s">
        <v>56</v>
      </c>
    </row>
    <row r="34" ht="24.95" customHeight="1" spans="1:12">
      <c r="A34" s="24">
        <v>46237</v>
      </c>
      <c r="B34" s="25">
        <v>0.895833333333333</v>
      </c>
      <c r="C34" s="25">
        <v>0.930555555555556</v>
      </c>
      <c r="D34" s="26" t="s">
        <v>22</v>
      </c>
      <c r="E34" s="27" t="s">
        <v>33</v>
      </c>
      <c r="F34" s="27" t="s">
        <v>57</v>
      </c>
      <c r="G34" s="28">
        <v>17</v>
      </c>
      <c r="H34" s="29">
        <v>0</v>
      </c>
      <c r="I34" s="28">
        <f t="shared" si="1"/>
        <v>0</v>
      </c>
      <c r="J34" s="30"/>
      <c r="K34" s="26" t="s">
        <v>21</v>
      </c>
    </row>
    <row r="35" ht="24.95" customHeight="1" spans="1:12">
      <c r="A35" s="24">
        <v>46237</v>
      </c>
      <c r="B35" s="25">
        <v>0.930555555555556</v>
      </c>
      <c r="C35" s="25">
        <v>0.9375</v>
      </c>
      <c r="D35" s="26" t="s">
        <v>41</v>
      </c>
      <c r="E35" s="27" t="s">
        <v>58</v>
      </c>
      <c r="F35" s="27" t="s">
        <v>59</v>
      </c>
      <c r="G35" s="28">
        <v>548.29</v>
      </c>
      <c r="H35" s="29">
        <v>1</v>
      </c>
      <c r="I35" s="28">
        <f t="shared" si="1"/>
        <v>548.29</v>
      </c>
      <c r="J35" s="30"/>
      <c r="K35" s="26" t="s">
        <v>28</v>
      </c>
      <c r="L35" s="46" t="s">
        <v>59</v>
      </c>
    </row>
    <row r="36" ht="24.95" customHeight="1" spans="1:12">
      <c r="A36" s="24">
        <v>46237</v>
      </c>
      <c r="B36" s="25">
        <v>0.9375</v>
      </c>
      <c r="C36" s="25">
        <v>0.958333333333333</v>
      </c>
      <c r="D36" s="26" t="s">
        <v>46</v>
      </c>
      <c r="E36" s="27" t="s">
        <v>60</v>
      </c>
      <c r="F36" s="27" t="s">
        <v>61</v>
      </c>
      <c r="G36" s="28">
        <v>50</v>
      </c>
      <c r="H36" s="29">
        <v>2</v>
      </c>
      <c r="I36" s="28">
        <f t="shared" si="1"/>
        <v>100</v>
      </c>
      <c r="J36" s="30"/>
      <c r="K36" s="26" t="s">
        <v>21</v>
      </c>
    </row>
    <row r="37" ht="24.95" customHeight="1" spans="1:12">
      <c r="A37" s="22" t="s">
        <v>62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44"/>
    </row>
    <row r="38" ht="24.95" customHeight="1" spans="1:12">
      <c r="A38" s="24">
        <v>46238</v>
      </c>
      <c r="B38" s="25">
        <v>0.319444444444444</v>
      </c>
      <c r="C38" s="25">
        <v>0.333333333333333</v>
      </c>
      <c r="D38" s="26" t="s">
        <v>19</v>
      </c>
      <c r="E38" s="27" t="s">
        <v>20</v>
      </c>
      <c r="F38" s="27"/>
      <c r="G38" s="28"/>
      <c r="H38" s="29"/>
      <c r="I38" s="28" t="str">
        <f t="shared" ref="I38:I48" si="2">IF(OR(G38="",H38=""),"",G38*H38)</f>
        <v/>
      </c>
      <c r="J38" s="45"/>
      <c r="K38" s="26" t="s">
        <v>21</v>
      </c>
    </row>
    <row r="39" ht="24.95" customHeight="1" spans="1:12">
      <c r="A39" s="24">
        <v>46238</v>
      </c>
      <c r="B39" s="25">
        <v>0.333333333333333</v>
      </c>
      <c r="C39" s="25">
        <v>0.347222222222222</v>
      </c>
      <c r="D39" s="26" t="s">
        <v>46</v>
      </c>
      <c r="E39" s="27" t="s">
        <v>48</v>
      </c>
      <c r="F39" s="27" t="s">
        <v>63</v>
      </c>
      <c r="G39" s="28"/>
      <c r="H39" s="29"/>
      <c r="I39" s="28" t="str">
        <f t="shared" si="2"/>
        <v/>
      </c>
      <c r="J39" s="30"/>
      <c r="K39" s="26" t="s">
        <v>21</v>
      </c>
    </row>
    <row r="40" ht="24.95" customHeight="1" spans="1:12">
      <c r="A40" s="24">
        <v>46238</v>
      </c>
      <c r="B40" s="25">
        <v>0.347222222222222</v>
      </c>
      <c r="C40" s="25">
        <v>0.361111111111111</v>
      </c>
      <c r="D40" s="26" t="s">
        <v>22</v>
      </c>
      <c r="E40" s="27" t="s">
        <v>23</v>
      </c>
      <c r="F40" s="27"/>
      <c r="G40" s="28">
        <v>15</v>
      </c>
      <c r="H40" s="29">
        <v>1</v>
      </c>
      <c r="I40" s="28">
        <f t="shared" si="2"/>
        <v>15</v>
      </c>
      <c r="J40" s="30"/>
      <c r="K40" s="26" t="s">
        <v>21</v>
      </c>
    </row>
    <row r="41" ht="27" customHeight="1" spans="1:12">
      <c r="A41" s="24">
        <v>46238</v>
      </c>
      <c r="B41" s="25">
        <v>0.361111111111111</v>
      </c>
      <c r="C41" s="25">
        <v>0.416666666666667</v>
      </c>
      <c r="D41" s="26" t="s">
        <v>45</v>
      </c>
      <c r="E41" s="27" t="s">
        <v>64</v>
      </c>
      <c r="F41" s="27" t="s">
        <v>65</v>
      </c>
      <c r="G41" s="28"/>
      <c r="H41" s="29">
        <v>0</v>
      </c>
      <c r="I41" s="28" t="str">
        <f t="shared" si="2"/>
        <v/>
      </c>
      <c r="J41" s="30"/>
      <c r="K41" s="26" t="s">
        <v>21</v>
      </c>
      <c r="L41" s="46" t="s">
        <v>66</v>
      </c>
    </row>
    <row r="42" ht="27" customHeight="1" spans="1:12">
      <c r="A42" s="24">
        <v>46238</v>
      </c>
      <c r="B42" s="25">
        <v>0.416666666666667</v>
      </c>
      <c r="C42" s="25">
        <v>0.430555555555556</v>
      </c>
      <c r="D42" s="26" t="s">
        <v>22</v>
      </c>
      <c r="E42" s="27" t="s">
        <v>23</v>
      </c>
      <c r="F42" s="27"/>
      <c r="G42" s="28">
        <v>10</v>
      </c>
      <c r="H42" s="29">
        <v>1</v>
      </c>
      <c r="I42" s="28">
        <f t="shared" si="2"/>
        <v>10</v>
      </c>
      <c r="J42" s="30"/>
      <c r="K42" s="26" t="s">
        <v>21</v>
      </c>
    </row>
    <row r="43" ht="24.95" customHeight="1" spans="1:12">
      <c r="A43" s="24">
        <v>46238</v>
      </c>
      <c r="B43" s="25">
        <v>0.430555555555556</v>
      </c>
      <c r="C43" s="25">
        <v>0.5</v>
      </c>
      <c r="D43" s="26" t="s">
        <v>46</v>
      </c>
      <c r="E43" s="27" t="s">
        <v>67</v>
      </c>
      <c r="F43" s="27" t="s">
        <v>68</v>
      </c>
      <c r="G43" s="28"/>
      <c r="H43" s="29">
        <v>0</v>
      </c>
      <c r="I43" s="28" t="str">
        <f t="shared" si="2"/>
        <v/>
      </c>
      <c r="J43" s="30"/>
      <c r="K43" s="26" t="s">
        <v>21</v>
      </c>
    </row>
    <row r="44" ht="24.95" customHeight="1" spans="1:12">
      <c r="A44" s="24">
        <v>46238</v>
      </c>
      <c r="B44" s="25">
        <v>0.5</v>
      </c>
      <c r="C44" s="25">
        <v>0.5</v>
      </c>
      <c r="D44" s="26" t="s">
        <v>41</v>
      </c>
      <c r="E44" s="27" t="s">
        <v>49</v>
      </c>
      <c r="F44" s="27" t="s">
        <v>69</v>
      </c>
      <c r="G44" s="28"/>
      <c r="H44" s="29">
        <v>0</v>
      </c>
      <c r="I44" s="28" t="str">
        <f t="shared" si="2"/>
        <v/>
      </c>
      <c r="J44" s="30"/>
      <c r="K44" s="26" t="s">
        <v>21</v>
      </c>
    </row>
    <row r="45" ht="24.95" customHeight="1" spans="1:12">
      <c r="A45" s="24">
        <v>46238</v>
      </c>
      <c r="B45" s="25">
        <v>0.506944444444444</v>
      </c>
      <c r="C45" s="25">
        <v>0.520833333333333</v>
      </c>
      <c r="D45" s="26" t="s">
        <v>22</v>
      </c>
      <c r="E45" s="27" t="s">
        <v>23</v>
      </c>
      <c r="F45" s="27" t="s">
        <v>70</v>
      </c>
      <c r="G45" s="28"/>
      <c r="H45" s="29"/>
      <c r="I45" s="28" t="str">
        <f t="shared" si="2"/>
        <v/>
      </c>
      <c r="J45" s="30"/>
      <c r="K45" s="26" t="s">
        <v>21</v>
      </c>
      <c r="L45" s="46" t="s">
        <v>71</v>
      </c>
    </row>
    <row r="46" ht="24.95" customHeight="1" spans="1:12">
      <c r="A46" s="24">
        <v>46238</v>
      </c>
      <c r="B46" s="47">
        <v>0.540972222222222</v>
      </c>
      <c r="C46" s="47">
        <v>0.629166666666667</v>
      </c>
      <c r="D46" s="26" t="s">
        <v>22</v>
      </c>
      <c r="E46" s="27" t="s">
        <v>26</v>
      </c>
      <c r="F46" s="27" t="s">
        <v>72</v>
      </c>
      <c r="G46" s="28">
        <v>145</v>
      </c>
      <c r="H46" s="29">
        <v>2</v>
      </c>
      <c r="I46" s="28">
        <f t="shared" si="2"/>
        <v>290</v>
      </c>
      <c r="J46" s="30"/>
      <c r="K46" s="26" t="s">
        <v>28</v>
      </c>
      <c r="L46" s="46" t="s">
        <v>73</v>
      </c>
    </row>
    <row r="47" ht="24.95" customHeight="1" spans="1:12">
      <c r="A47" s="24">
        <v>46238</v>
      </c>
      <c r="B47" s="25">
        <v>0.631944444444444</v>
      </c>
      <c r="C47" s="25">
        <v>0.645833333333333</v>
      </c>
      <c r="D47" s="26" t="s">
        <v>22</v>
      </c>
      <c r="E47" s="27" t="s">
        <v>23</v>
      </c>
      <c r="F47" s="27" t="s">
        <v>74</v>
      </c>
      <c r="G47" s="28">
        <v>10</v>
      </c>
      <c r="H47" s="29">
        <v>0</v>
      </c>
      <c r="I47" s="28">
        <f t="shared" si="2"/>
        <v>0</v>
      </c>
      <c r="J47" s="30"/>
      <c r="K47" s="26" t="s">
        <v>21</v>
      </c>
    </row>
    <row r="48" ht="24.95" customHeight="1" spans="1:12">
      <c r="A48" s="24">
        <v>46238</v>
      </c>
      <c r="B48" s="25">
        <v>0.645833333333333</v>
      </c>
      <c r="C48" s="25">
        <v>0.652777777777778</v>
      </c>
      <c r="D48" s="26" t="s">
        <v>41</v>
      </c>
      <c r="E48" s="27" t="s">
        <v>58</v>
      </c>
      <c r="F48" s="27" t="s">
        <v>75</v>
      </c>
      <c r="G48" s="28">
        <v>1650</v>
      </c>
      <c r="H48" s="29">
        <v>1</v>
      </c>
      <c r="I48" s="28">
        <f t="shared" si="2"/>
        <v>1650</v>
      </c>
      <c r="J48" s="30"/>
      <c r="K48" s="26" t="s">
        <v>28</v>
      </c>
      <c r="L48" s="46" t="s">
        <v>76</v>
      </c>
    </row>
    <row r="49" ht="24.95" customHeight="1" spans="1:12">
      <c r="A49" s="24">
        <v>46238</v>
      </c>
      <c r="B49" s="25">
        <v>0.652777777777778</v>
      </c>
      <c r="C49" s="25">
        <v>0.708333333333333</v>
      </c>
      <c r="D49" s="26" t="s">
        <v>19</v>
      </c>
      <c r="E49" s="27" t="s">
        <v>77</v>
      </c>
      <c r="F49" s="27" t="s">
        <v>78</v>
      </c>
      <c r="G49" s="28"/>
      <c r="H49" s="29"/>
      <c r="I49" s="28"/>
      <c r="J49" s="30"/>
      <c r="K49" s="26" t="s">
        <v>21</v>
      </c>
    </row>
    <row r="50" ht="24.95" customHeight="1" spans="1:12">
      <c r="A50" s="24">
        <v>46238</v>
      </c>
      <c r="B50" s="25">
        <v>0.708333333333333</v>
      </c>
      <c r="C50" s="25">
        <v>0.75</v>
      </c>
      <c r="D50" s="26" t="s">
        <v>45</v>
      </c>
      <c r="E50" s="27" t="s">
        <v>79</v>
      </c>
      <c r="F50" s="27" t="s">
        <v>80</v>
      </c>
      <c r="G50" s="28"/>
      <c r="H50" s="29"/>
      <c r="I50" s="28"/>
      <c r="J50" s="30"/>
      <c r="K50" s="26" t="s">
        <v>21</v>
      </c>
      <c r="L50" s="46" t="s">
        <v>79</v>
      </c>
    </row>
    <row r="51" ht="24.95" customHeight="1" spans="1:12">
      <c r="A51" s="24">
        <v>46238</v>
      </c>
      <c r="B51" s="25">
        <v>0.75</v>
      </c>
      <c r="C51" s="25">
        <v>0.791666666666667</v>
      </c>
      <c r="D51" s="26" t="s">
        <v>46</v>
      </c>
      <c r="E51" s="27" t="s">
        <v>81</v>
      </c>
      <c r="F51" s="27" t="s">
        <v>82</v>
      </c>
      <c r="G51" s="28"/>
      <c r="H51" s="29">
        <v>0</v>
      </c>
      <c r="I51" s="28" t="str">
        <f t="shared" ref="I51:I55" si="3">IF(OR(G51="",H51=""),"",G51*H51)</f>
        <v/>
      </c>
      <c r="J51" s="30"/>
      <c r="K51" s="26" t="s">
        <v>21</v>
      </c>
    </row>
    <row r="52" ht="24.95" customHeight="1" spans="1:12">
      <c r="A52" s="24">
        <v>46238</v>
      </c>
      <c r="B52" s="25">
        <v>0.8125</v>
      </c>
      <c r="C52" s="25">
        <v>0.840277777777778</v>
      </c>
      <c r="D52" s="26" t="s">
        <v>45</v>
      </c>
      <c r="E52" s="27" t="s">
        <v>83</v>
      </c>
      <c r="F52" s="27"/>
      <c r="G52" s="28"/>
      <c r="H52" s="29"/>
      <c r="I52" s="28"/>
      <c r="J52" s="30"/>
      <c r="K52" s="26" t="s">
        <v>21</v>
      </c>
    </row>
    <row r="53" ht="24.95" customHeight="1" spans="1:12">
      <c r="A53" s="22" t="s">
        <v>84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44"/>
    </row>
    <row r="54" ht="24.95" customHeight="1" spans="1:12">
      <c r="A54" s="24">
        <v>46239</v>
      </c>
      <c r="B54" s="25">
        <v>0.375</v>
      </c>
      <c r="C54" s="25">
        <v>0.416666666666667</v>
      </c>
      <c r="D54" s="26" t="s">
        <v>46</v>
      </c>
      <c r="E54" s="27" t="s">
        <v>85</v>
      </c>
      <c r="F54" s="27" t="s">
        <v>63</v>
      </c>
      <c r="G54" s="28"/>
      <c r="H54" s="29">
        <v>0</v>
      </c>
      <c r="I54" s="28" t="str">
        <f t="shared" si="3"/>
        <v/>
      </c>
      <c r="J54" s="30"/>
      <c r="K54" s="26" t="s">
        <v>21</v>
      </c>
    </row>
    <row r="55" ht="24.95" customHeight="1" spans="1:12">
      <c r="A55" s="24">
        <v>46239</v>
      </c>
      <c r="B55" s="25">
        <v>0.493055555555556</v>
      </c>
      <c r="C55" s="25">
        <v>0.5</v>
      </c>
      <c r="D55" s="26" t="s">
        <v>41</v>
      </c>
      <c r="E55" s="27" t="s">
        <v>49</v>
      </c>
      <c r="F55" s="27"/>
      <c r="G55" s="28"/>
      <c r="H55" s="29"/>
      <c r="I55" s="28" t="str">
        <f t="shared" si="3"/>
        <v/>
      </c>
      <c r="J55" s="30"/>
      <c r="K55" s="26" t="s">
        <v>21</v>
      </c>
      <c r="L55" s="46"/>
    </row>
    <row r="56" ht="27" customHeight="1" spans="1:12">
      <c r="A56" s="24">
        <v>46239</v>
      </c>
      <c r="B56" s="25">
        <v>0.5</v>
      </c>
      <c r="C56" s="25">
        <v>0.527777777777778</v>
      </c>
      <c r="D56" s="26" t="s">
        <v>22</v>
      </c>
      <c r="E56" s="27" t="s">
        <v>86</v>
      </c>
      <c r="F56" s="27" t="s">
        <v>23</v>
      </c>
      <c r="G56" s="28">
        <v>40</v>
      </c>
      <c r="H56" s="29">
        <v>1</v>
      </c>
      <c r="I56" s="28">
        <f>IF(OR(G56="",H56=""),"",G56*H56)</f>
        <v>40</v>
      </c>
      <c r="J56" s="30"/>
      <c r="K56" s="26" t="s">
        <v>21</v>
      </c>
      <c r="L56" s="46" t="s">
        <v>87</v>
      </c>
    </row>
    <row r="57" ht="24.95" customHeight="1" spans="1:12">
      <c r="A57" s="24">
        <v>46239</v>
      </c>
      <c r="B57" s="25">
        <v>0.527777777777778</v>
      </c>
      <c r="C57" s="25">
        <v>0.541666666666667</v>
      </c>
      <c r="D57" s="26" t="s">
        <v>41</v>
      </c>
      <c r="E57" s="27" t="s">
        <v>58</v>
      </c>
      <c r="F57" s="27" t="s">
        <v>88</v>
      </c>
      <c r="G57" s="28">
        <v>989.5</v>
      </c>
      <c r="H57" s="29">
        <v>2</v>
      </c>
      <c r="I57" s="28">
        <f>IF(OR(G57="",H57=""),"",G57*H57)</f>
        <v>1979</v>
      </c>
      <c r="J57" s="30"/>
      <c r="K57" s="26" t="s">
        <v>28</v>
      </c>
      <c r="L57" s="46" t="s">
        <v>87</v>
      </c>
    </row>
    <row r="58" ht="24.95" customHeight="1" spans="1:12">
      <c r="A58" s="24">
        <v>46239</v>
      </c>
      <c r="B58" s="25">
        <v>0.583333333333333</v>
      </c>
      <c r="C58" s="25">
        <v>0.75</v>
      </c>
      <c r="D58" s="26" t="s">
        <v>45</v>
      </c>
      <c r="E58" s="27" t="s">
        <v>89</v>
      </c>
      <c r="F58" s="27" t="s">
        <v>90</v>
      </c>
      <c r="G58" s="28"/>
      <c r="H58" s="29"/>
      <c r="I58" s="28" t="str">
        <f>IF(OR(G58="",H58=""),"",G58*H58)</f>
        <v/>
      </c>
      <c r="J58" s="30"/>
      <c r="K58" s="26" t="s">
        <v>21</v>
      </c>
      <c r="L58" s="46" t="s">
        <v>91</v>
      </c>
    </row>
    <row r="59" ht="24.95" customHeight="1" spans="1:12">
      <c r="A59" s="24">
        <v>46239</v>
      </c>
      <c r="B59" s="25">
        <v>0.6875</v>
      </c>
      <c r="C59" s="25">
        <v>0.729166666666667</v>
      </c>
      <c r="D59" s="26" t="s">
        <v>22</v>
      </c>
      <c r="E59" s="27" t="s">
        <v>92</v>
      </c>
      <c r="F59" s="27" t="s">
        <v>93</v>
      </c>
      <c r="G59" s="28"/>
      <c r="H59" s="29"/>
      <c r="I59" s="28" t="str">
        <f>IF(OR(G59="",H59=""),"",G59*H59)</f>
        <v/>
      </c>
      <c r="J59" s="30"/>
      <c r="K59" s="26" t="s">
        <v>21</v>
      </c>
      <c r="L59" s="42" t="s">
        <v>94</v>
      </c>
    </row>
    <row r="60" ht="24.95" customHeight="1" spans="1:12">
      <c r="A60" s="24">
        <v>46239</v>
      </c>
      <c r="B60" s="25">
        <v>0.770833333333333</v>
      </c>
      <c r="C60" s="25">
        <v>0.833333333333333</v>
      </c>
      <c r="D60" s="26" t="s">
        <v>46</v>
      </c>
      <c r="E60" s="27" t="s">
        <v>95</v>
      </c>
      <c r="F60" s="27" t="s">
        <v>96</v>
      </c>
      <c r="G60" s="28"/>
      <c r="H60" s="29"/>
      <c r="I60" s="28" t="str">
        <f>IF(OR(G60="",H60=""),"",G60*H60)</f>
        <v/>
      </c>
      <c r="J60" s="30"/>
      <c r="K60" s="26" t="s">
        <v>21</v>
      </c>
      <c r="L60" s="42" t="s">
        <v>97</v>
      </c>
    </row>
    <row r="61" ht="24.95" customHeight="1" spans="1:12">
      <c r="A61" s="22" t="s">
        <v>98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44"/>
    </row>
    <row r="62" ht="24.95" customHeight="1" spans="1:12">
      <c r="A62" s="24">
        <v>46240</v>
      </c>
      <c r="B62" s="25">
        <v>0.333333333333333</v>
      </c>
      <c r="C62" s="25">
        <v>0.354166666666667</v>
      </c>
      <c r="D62" s="26" t="s">
        <v>19</v>
      </c>
      <c r="E62" s="27" t="s">
        <v>20</v>
      </c>
      <c r="F62" s="27"/>
      <c r="G62" s="28"/>
      <c r="H62" s="29"/>
      <c r="I62" s="28" t="str">
        <f t="shared" ref="I62:I66" si="4">IF(OR(G62="",H62=""),"",G62*H62)</f>
        <v/>
      </c>
      <c r="J62" s="30"/>
      <c r="K62" s="26" t="s">
        <v>21</v>
      </c>
    </row>
    <row r="63" ht="27" customHeight="1" spans="1:12">
      <c r="A63" s="24">
        <v>46240</v>
      </c>
      <c r="B63" s="25">
        <v>0.354166666666667</v>
      </c>
      <c r="C63" s="25">
        <v>0.395833333333333</v>
      </c>
      <c r="D63" s="26" t="s">
        <v>45</v>
      </c>
      <c r="E63" s="27" t="s">
        <v>99</v>
      </c>
      <c r="F63" s="27" t="s">
        <v>100</v>
      </c>
      <c r="G63" s="28">
        <v>20</v>
      </c>
      <c r="H63" s="29">
        <v>2</v>
      </c>
      <c r="I63" s="28">
        <f t="shared" si="4"/>
        <v>40</v>
      </c>
      <c r="J63" s="30"/>
      <c r="K63" s="26" t="s">
        <v>21</v>
      </c>
    </row>
    <row r="64" ht="24.95" customHeight="1" spans="1:12">
      <c r="A64" s="24">
        <v>46240</v>
      </c>
      <c r="B64" s="25">
        <v>0.395833333333333</v>
      </c>
      <c r="C64" s="25">
        <v>0.416666666666667</v>
      </c>
      <c r="D64" s="26" t="s">
        <v>22</v>
      </c>
      <c r="E64" s="27" t="s">
        <v>23</v>
      </c>
      <c r="F64" s="27" t="s">
        <v>93</v>
      </c>
      <c r="G64" s="28">
        <v>40</v>
      </c>
      <c r="H64" s="29"/>
      <c r="I64" s="28" t="str">
        <f t="shared" si="4"/>
        <v/>
      </c>
      <c r="J64" s="30"/>
      <c r="K64" s="26" t="s">
        <v>21</v>
      </c>
    </row>
    <row r="65" ht="24.95" customHeight="1" spans="1:12">
      <c r="A65" s="24">
        <v>46240</v>
      </c>
      <c r="B65" s="25">
        <v>0.416666666666667</v>
      </c>
      <c r="C65" s="25">
        <v>0.5</v>
      </c>
      <c r="D65" s="26" t="s">
        <v>45</v>
      </c>
      <c r="E65" s="27" t="s">
        <v>101</v>
      </c>
      <c r="F65" s="27" t="s">
        <v>102</v>
      </c>
      <c r="G65" s="28">
        <v>0</v>
      </c>
      <c r="H65" s="29"/>
      <c r="I65" s="28" t="str">
        <f t="shared" si="4"/>
        <v/>
      </c>
      <c r="J65" s="30"/>
      <c r="K65" s="26" t="s">
        <v>21</v>
      </c>
      <c r="L65" s="42" t="s">
        <v>101</v>
      </c>
    </row>
    <row r="66" ht="24.95" customHeight="1" spans="1:12">
      <c r="A66" s="24">
        <v>46240</v>
      </c>
      <c r="B66" s="25">
        <v>0.5</v>
      </c>
      <c r="C66" s="25">
        <v>0.541666666666667</v>
      </c>
      <c r="D66" s="26" t="s">
        <v>45</v>
      </c>
      <c r="E66" s="27" t="s">
        <v>103</v>
      </c>
      <c r="F66" s="27" t="s">
        <v>104</v>
      </c>
      <c r="G66" s="28"/>
      <c r="H66" s="29"/>
      <c r="I66" s="28" t="str">
        <f t="shared" si="4"/>
        <v/>
      </c>
      <c r="J66" s="30"/>
      <c r="K66" s="26" t="s">
        <v>21</v>
      </c>
      <c r="L66" s="42" t="s">
        <v>103</v>
      </c>
    </row>
    <row r="67" ht="24.95" customHeight="1" spans="1:12">
      <c r="A67" s="24">
        <v>46240</v>
      </c>
      <c r="B67" s="25">
        <v>0.541666666666667</v>
      </c>
      <c r="C67" s="25">
        <v>0.5625</v>
      </c>
      <c r="D67" s="26" t="s">
        <v>22</v>
      </c>
      <c r="E67" s="27" t="s">
        <v>23</v>
      </c>
      <c r="F67" s="27" t="s">
        <v>104</v>
      </c>
      <c r="G67" s="28"/>
      <c r="H67" s="29"/>
      <c r="I67" s="28" t="str">
        <f>IF(OR(G67="",H67=""),"",G67*H67)</f>
        <v/>
      </c>
      <c r="J67" s="30"/>
      <c r="K67" s="26" t="s">
        <v>21</v>
      </c>
    </row>
    <row r="68" ht="24.95" customHeight="1" spans="1:12">
      <c r="A68" s="24">
        <v>46240</v>
      </c>
      <c r="B68" s="25">
        <v>0.5625</v>
      </c>
      <c r="C68" s="25">
        <v>0.604166666666667</v>
      </c>
      <c r="D68" s="26" t="s">
        <v>46</v>
      </c>
      <c r="E68" s="27" t="s">
        <v>67</v>
      </c>
      <c r="F68" s="27"/>
      <c r="G68" s="28">
        <v>100</v>
      </c>
      <c r="H68" s="29">
        <v>2</v>
      </c>
      <c r="I68" s="28">
        <f>IF(OR(G68="",H68=""),"",G68*H68)</f>
        <v>200</v>
      </c>
      <c r="J68" s="30"/>
      <c r="K68" s="26" t="s">
        <v>21</v>
      </c>
    </row>
    <row r="69" ht="24.95" customHeight="1" spans="1:12">
      <c r="A69" s="24">
        <v>46240</v>
      </c>
      <c r="B69" s="25">
        <v>0.604166666666667</v>
      </c>
      <c r="C69" s="25">
        <v>0.645833333333333</v>
      </c>
      <c r="D69" s="26" t="s">
        <v>41</v>
      </c>
      <c r="E69" s="27" t="s">
        <v>77</v>
      </c>
      <c r="F69" s="27" t="s">
        <v>88</v>
      </c>
      <c r="G69" s="28">
        <v>0</v>
      </c>
      <c r="H69" s="29"/>
      <c r="I69" s="28"/>
      <c r="J69" s="30"/>
      <c r="K69" s="26" t="s">
        <v>28</v>
      </c>
      <c r="L69" s="46" t="s">
        <v>87</v>
      </c>
    </row>
    <row r="70" ht="24.95" customHeight="1" spans="1:12">
      <c r="A70" s="24">
        <v>46240</v>
      </c>
      <c r="B70" s="25">
        <v>0.652777777777778</v>
      </c>
      <c r="C70" s="25">
        <v>0.715277777777778</v>
      </c>
      <c r="D70" s="26" t="s">
        <v>45</v>
      </c>
      <c r="E70" s="27" t="s">
        <v>105</v>
      </c>
      <c r="F70" s="27" t="s">
        <v>106</v>
      </c>
      <c r="G70" s="28">
        <v>75</v>
      </c>
      <c r="H70" s="29">
        <v>2</v>
      </c>
      <c r="I70" s="28">
        <f>IF(OR(G70="",H70=""),"",G70*H70)</f>
        <v>150</v>
      </c>
      <c r="J70" s="30"/>
      <c r="K70" s="26" t="s">
        <v>21</v>
      </c>
      <c r="L70" s="46" t="s">
        <v>106</v>
      </c>
    </row>
    <row r="71" ht="24.95" customHeight="1" spans="1:12">
      <c r="A71" s="24">
        <v>46240</v>
      </c>
      <c r="B71" s="25">
        <v>0.729166666666667</v>
      </c>
      <c r="C71" s="25">
        <v>0.770833333333333</v>
      </c>
      <c r="D71" s="26" t="s">
        <v>45</v>
      </c>
      <c r="E71" s="27" t="s">
        <v>107</v>
      </c>
      <c r="F71" s="27" t="s">
        <v>108</v>
      </c>
      <c r="G71" s="28"/>
      <c r="H71" s="29"/>
      <c r="I71" s="28"/>
      <c r="J71" s="30"/>
      <c r="K71" s="26" t="s">
        <v>21</v>
      </c>
      <c r="L71" s="46"/>
    </row>
    <row r="72" ht="24.95" customHeight="1" spans="1:12">
      <c r="A72" s="24">
        <v>46240</v>
      </c>
      <c r="B72" s="25">
        <v>0.770833333333333</v>
      </c>
      <c r="C72" s="25">
        <v>0.854166666666667</v>
      </c>
      <c r="D72" s="26" t="s">
        <v>46</v>
      </c>
      <c r="E72" s="27" t="s">
        <v>109</v>
      </c>
      <c r="F72" s="27" t="s">
        <v>110</v>
      </c>
      <c r="G72" s="28"/>
      <c r="H72" s="29"/>
      <c r="I72" s="28" t="str">
        <f>IF(OR(G72="",H72=""),"",G72*H72)</f>
        <v/>
      </c>
      <c r="J72" s="30"/>
      <c r="K72" s="26" t="s">
        <v>21</v>
      </c>
    </row>
    <row r="73" ht="24.95" customHeight="1" spans="1:12">
      <c r="A73" s="24">
        <v>46240</v>
      </c>
      <c r="B73" s="25">
        <v>0.875</v>
      </c>
      <c r="C73" s="25">
        <v>0.875</v>
      </c>
      <c r="D73" s="26" t="s">
        <v>41</v>
      </c>
      <c r="E73" s="27" t="s">
        <v>77</v>
      </c>
      <c r="F73" s="27" t="s">
        <v>88</v>
      </c>
      <c r="G73" s="28">
        <v>0</v>
      </c>
      <c r="H73" s="29"/>
      <c r="I73" s="28"/>
      <c r="J73" s="30"/>
      <c r="K73" s="26" t="s">
        <v>28</v>
      </c>
      <c r="L73" s="46" t="s">
        <v>87</v>
      </c>
    </row>
    <row r="74" ht="24.95" customHeight="1" spans="1:12">
      <c r="A74" s="22" t="s">
        <v>111</v>
      </c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44"/>
    </row>
    <row r="75" ht="24.95" customHeight="1" spans="1:12">
      <c r="A75" s="24">
        <v>46241</v>
      </c>
      <c r="B75" s="25">
        <v>0.375</v>
      </c>
      <c r="C75" s="25">
        <v>0.416666666666667</v>
      </c>
      <c r="D75" s="26" t="s">
        <v>46</v>
      </c>
      <c r="E75" s="27" t="s">
        <v>48</v>
      </c>
      <c r="F75" s="27" t="s">
        <v>112</v>
      </c>
      <c r="G75" s="28"/>
      <c r="H75" s="29"/>
      <c r="I75" s="28" t="str">
        <f>IF(OR(G75="",H75=""),"",G75*H75)</f>
        <v/>
      </c>
      <c r="J75" s="30"/>
      <c r="K75" s="26" t="s">
        <v>21</v>
      </c>
    </row>
    <row r="76" ht="24.95" customHeight="1" spans="1:12">
      <c r="A76" s="24">
        <v>46241</v>
      </c>
      <c r="B76" s="25">
        <v>0.416666666666667</v>
      </c>
      <c r="C76" s="25">
        <v>0.430555555555556</v>
      </c>
      <c r="D76" s="26" t="s">
        <v>22</v>
      </c>
      <c r="E76" s="27" t="s">
        <v>23</v>
      </c>
      <c r="F76" s="27" t="s">
        <v>113</v>
      </c>
      <c r="G76" s="28"/>
      <c r="H76" s="29"/>
      <c r="I76" s="28" t="str">
        <f>IF(OR(G76="",H76=""),"",G76*H76)</f>
        <v/>
      </c>
      <c r="J76" s="30"/>
      <c r="K76" s="26" t="s">
        <v>21</v>
      </c>
      <c r="L76" s="46" t="s">
        <v>114</v>
      </c>
    </row>
    <row r="77" ht="24.95" customHeight="1" spans="1:12">
      <c r="A77" s="24">
        <v>46241</v>
      </c>
      <c r="B77" s="25">
        <v>0.4375</v>
      </c>
      <c r="C77" s="25">
        <v>0.583333333333333</v>
      </c>
      <c r="D77" s="26" t="s">
        <v>45</v>
      </c>
      <c r="E77" s="27" t="s">
        <v>114</v>
      </c>
      <c r="F77" s="27" t="s">
        <v>115</v>
      </c>
      <c r="G77" s="28">
        <v>200</v>
      </c>
      <c r="H77" s="29">
        <v>2</v>
      </c>
      <c r="I77" s="28">
        <f>IF(OR(G77="",H77=""),"",G77*H77)</f>
        <v>400</v>
      </c>
      <c r="J77" s="30"/>
      <c r="K77" s="26" t="s">
        <v>21</v>
      </c>
      <c r="L77" s="46"/>
    </row>
    <row r="78" ht="24.95" customHeight="1" spans="1:12">
      <c r="A78" s="24">
        <v>46241</v>
      </c>
      <c r="B78" s="25">
        <v>0.583333333333333</v>
      </c>
      <c r="C78" s="25">
        <v>0.604166666666667</v>
      </c>
      <c r="D78" s="26" t="s">
        <v>22</v>
      </c>
      <c r="E78" s="27" t="s">
        <v>23</v>
      </c>
      <c r="F78" s="27" t="s">
        <v>116</v>
      </c>
      <c r="G78" s="28"/>
      <c r="H78" s="29"/>
      <c r="I78" s="28" t="str">
        <f>IF(OR(G78="",H78=""),"",G78*H78)</f>
        <v/>
      </c>
      <c r="J78" s="30"/>
      <c r="K78" s="26" t="s">
        <v>21</v>
      </c>
      <c r="L78" s="46" t="s">
        <v>87</v>
      </c>
    </row>
    <row r="79" ht="24.95" customHeight="1" spans="1:12">
      <c r="A79" s="24">
        <v>46241</v>
      </c>
      <c r="B79" s="25">
        <v>0.604166666666667</v>
      </c>
      <c r="C79" s="25">
        <v>0.625</v>
      </c>
      <c r="D79" s="26" t="s">
        <v>46</v>
      </c>
      <c r="E79" s="27" t="s">
        <v>67</v>
      </c>
      <c r="F79" s="27" t="s">
        <v>117</v>
      </c>
      <c r="G79" s="28"/>
      <c r="H79" s="29"/>
      <c r="I79" s="28" t="str">
        <f>IF(OR(G79="",H79=""),"",G79*H79)</f>
        <v/>
      </c>
      <c r="J79" s="30"/>
      <c r="K79" s="26" t="s">
        <v>21</v>
      </c>
    </row>
    <row r="80" ht="24.95" customHeight="1" spans="1:12">
      <c r="A80" s="24">
        <v>46241</v>
      </c>
      <c r="B80" s="25">
        <v>0.625</v>
      </c>
      <c r="C80" s="25">
        <v>0.666666666666667</v>
      </c>
      <c r="D80" s="26" t="s">
        <v>41</v>
      </c>
      <c r="E80" s="27" t="s">
        <v>118</v>
      </c>
      <c r="F80" s="27" t="s">
        <v>119</v>
      </c>
      <c r="G80" s="28"/>
      <c r="H80" s="29"/>
      <c r="I80" s="28"/>
      <c r="J80" s="30"/>
      <c r="K80" s="26" t="s">
        <v>21</v>
      </c>
    </row>
    <row r="81" ht="24.95" customHeight="1" spans="1:26">
      <c r="A81" s="24">
        <v>46241</v>
      </c>
      <c r="B81" s="25">
        <v>0.666666666666667</v>
      </c>
      <c r="C81" s="25">
        <v>0.854166666666667</v>
      </c>
      <c r="D81" s="26" t="s">
        <v>45</v>
      </c>
      <c r="E81" s="27" t="s">
        <v>120</v>
      </c>
      <c r="F81" s="27" t="s">
        <v>121</v>
      </c>
      <c r="G81" s="28"/>
      <c r="H81" s="29"/>
      <c r="I81" s="28" t="str">
        <f>IF(OR(G81="",H81=""),"",G81*H81)</f>
        <v/>
      </c>
      <c r="J81" s="30"/>
      <c r="K81" s="26" t="s">
        <v>21</v>
      </c>
      <c r="L81" s="46" t="s">
        <v>122</v>
      </c>
    </row>
    <row r="82" ht="24.95" customHeight="1" spans="1:26">
      <c r="A82" s="24">
        <v>46241</v>
      </c>
      <c r="B82" s="25">
        <v>0.854166666666667</v>
      </c>
      <c r="C82" s="25">
        <v>0.881944444444444</v>
      </c>
      <c r="D82" s="26" t="s">
        <v>22</v>
      </c>
      <c r="E82" s="27" t="s">
        <v>23</v>
      </c>
      <c r="F82" s="27" t="s">
        <v>123</v>
      </c>
      <c r="G82" s="28"/>
      <c r="H82" s="29"/>
      <c r="I82" s="28" t="str">
        <f>IF(OR(G82="",H82=""),"",G82*H82)</f>
        <v/>
      </c>
      <c r="J82" s="30"/>
      <c r="K82" s="26" t="s">
        <v>21</v>
      </c>
      <c r="L82" s="46" t="s">
        <v>87</v>
      </c>
    </row>
    <row r="83" ht="24.95" customHeight="1" spans="1:26">
      <c r="A83" s="24">
        <v>46241</v>
      </c>
      <c r="B83" s="25">
        <v>0.881944444444444</v>
      </c>
      <c r="C83" s="25">
        <v>0.888888888888889</v>
      </c>
      <c r="D83" s="26" t="s">
        <v>41</v>
      </c>
      <c r="E83" s="27" t="s">
        <v>58</v>
      </c>
      <c r="F83" s="27" t="s">
        <v>124</v>
      </c>
      <c r="G83" s="28">
        <v>601</v>
      </c>
      <c r="H83" s="29">
        <v>1</v>
      </c>
      <c r="I83" s="28">
        <f>IF(OR(G83="",H83=""),"",G83*H83)</f>
        <v>601</v>
      </c>
      <c r="J83" s="30"/>
      <c r="K83" s="26" t="s">
        <v>28</v>
      </c>
      <c r="L83" s="42" t="s">
        <v>124</v>
      </c>
    </row>
    <row r="84" ht="24.95" customHeight="1" spans="1:26">
      <c r="A84" s="22" t="s">
        <v>125</v>
      </c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44"/>
    </row>
    <row r="85" ht="24.95" customHeight="1" spans="1:26">
      <c r="A85" s="24">
        <v>46242</v>
      </c>
      <c r="B85" s="25">
        <v>0.298611111111111</v>
      </c>
      <c r="C85" s="25">
        <v>0.3125</v>
      </c>
      <c r="D85" s="26" t="s">
        <v>46</v>
      </c>
      <c r="E85" s="27" t="s">
        <v>48</v>
      </c>
      <c r="F85" s="27" t="s">
        <v>126</v>
      </c>
      <c r="G85" s="28"/>
      <c r="H85" s="29"/>
      <c r="I85" s="28" t="str">
        <f>IF(OR(G85="",H85=""),"",G85*H85)</f>
        <v/>
      </c>
      <c r="J85" s="30"/>
      <c r="K85" s="26" t="s">
        <v>21</v>
      </c>
    </row>
    <row r="86" ht="24.95" customHeight="1" spans="1:26">
      <c r="A86" s="24">
        <v>46242</v>
      </c>
      <c r="B86" s="25">
        <v>0.3125</v>
      </c>
      <c r="C86" s="25">
        <v>0.333333333333333</v>
      </c>
      <c r="D86" s="26" t="s">
        <v>22</v>
      </c>
      <c r="E86" s="27" t="s">
        <v>23</v>
      </c>
      <c r="F86" s="27"/>
      <c r="G86" s="28">
        <v>25</v>
      </c>
      <c r="H86" s="29">
        <v>1</v>
      </c>
      <c r="I86" s="28">
        <f t="shared" ref="I86:I91" si="5">IF(OR(G86="",H86=""),"",G86*H86)</f>
        <v>25</v>
      </c>
      <c r="J86" s="30"/>
      <c r="K86" s="26" t="s">
        <v>21</v>
      </c>
      <c r="L86" s="46" t="s">
        <v>127</v>
      </c>
    </row>
    <row r="87" ht="24.95" customHeight="1" spans="1:26">
      <c r="A87" s="24">
        <v>46242</v>
      </c>
      <c r="B87" s="47">
        <v>0.385416666666667</v>
      </c>
      <c r="C87" s="47">
        <v>0.513888888888889</v>
      </c>
      <c r="D87" s="26" t="s">
        <v>22</v>
      </c>
      <c r="E87" s="27" t="s">
        <v>30</v>
      </c>
      <c r="F87" s="27" t="s">
        <v>128</v>
      </c>
      <c r="G87" s="28">
        <v>1610</v>
      </c>
      <c r="H87" s="29">
        <v>2</v>
      </c>
      <c r="I87" s="28">
        <f t="shared" si="5"/>
        <v>3220</v>
      </c>
      <c r="J87" s="30"/>
      <c r="K87" s="26" t="s">
        <v>28</v>
      </c>
      <c r="L87" s="42" t="s">
        <v>129</v>
      </c>
    </row>
    <row r="88" ht="24.95" customHeight="1" spans="1:26">
      <c r="A88" s="24">
        <v>46242</v>
      </c>
      <c r="B88" s="25">
        <v>0.534722222222222</v>
      </c>
      <c r="C88" s="25">
        <v>0.5625</v>
      </c>
      <c r="D88" s="26" t="s">
        <v>22</v>
      </c>
      <c r="E88" s="27" t="s">
        <v>33</v>
      </c>
      <c r="F88" s="27" t="s">
        <v>130</v>
      </c>
      <c r="G88" s="28">
        <v>4</v>
      </c>
      <c r="H88" s="29">
        <v>2</v>
      </c>
      <c r="I88" s="28">
        <f t="shared" si="5"/>
        <v>8</v>
      </c>
      <c r="J88" s="30"/>
      <c r="K88" s="26" t="s">
        <v>21</v>
      </c>
      <c r="L88" s="42" t="s">
        <v>131</v>
      </c>
    </row>
    <row r="89" ht="24.95" customHeight="1" spans="1:26">
      <c r="A89" s="24">
        <v>46242</v>
      </c>
      <c r="B89" s="47">
        <v>0.585416666666667</v>
      </c>
      <c r="C89" s="47">
        <v>0.653472222222222</v>
      </c>
      <c r="D89" s="26" t="s">
        <v>22</v>
      </c>
      <c r="E89" s="27" t="s">
        <v>26</v>
      </c>
      <c r="F89" s="27" t="s">
        <v>132</v>
      </c>
      <c r="G89" s="28">
        <v>117</v>
      </c>
      <c r="H89" s="29">
        <v>2</v>
      </c>
      <c r="I89" s="28">
        <f t="shared" si="5"/>
        <v>234</v>
      </c>
      <c r="J89" s="30"/>
      <c r="K89" s="26" t="s">
        <v>21</v>
      </c>
      <c r="L89" s="42" t="s">
        <v>25</v>
      </c>
    </row>
    <row r="90" ht="24.95" customHeight="1" spans="1:26">
      <c r="A90" s="24">
        <v>46242</v>
      </c>
      <c r="B90" s="25">
        <v>0.659722222222222</v>
      </c>
      <c r="C90" s="25">
        <v>0.666666666666667</v>
      </c>
      <c r="D90" s="26" t="s">
        <v>22</v>
      </c>
      <c r="E90" s="27" t="s">
        <v>23</v>
      </c>
      <c r="F90" s="27" t="s">
        <v>133</v>
      </c>
      <c r="G90" s="28">
        <v>10</v>
      </c>
      <c r="H90" s="29">
        <v>1</v>
      </c>
      <c r="I90" s="28">
        <f t="shared" si="5"/>
        <v>10</v>
      </c>
      <c r="J90" s="30"/>
      <c r="K90" s="26" t="s">
        <v>21</v>
      </c>
      <c r="L90" s="42" t="s">
        <v>134</v>
      </c>
    </row>
    <row r="91" ht="24.95" customHeight="1" spans="1:26">
      <c r="A91" s="24"/>
      <c r="B91" s="25"/>
      <c r="C91" s="25"/>
      <c r="D91" s="26"/>
      <c r="E91" s="27"/>
      <c r="F91" s="27"/>
      <c r="G91" s="28"/>
      <c r="H91" s="29"/>
      <c r="I91" s="28"/>
      <c r="J91" s="30"/>
      <c r="K91" s="26"/>
      <c r="P91" s="24"/>
      <c r="Q91" s="25"/>
      <c r="R91" s="25"/>
      <c r="S91" s="26"/>
      <c r="T91" s="27"/>
      <c r="U91" s="27"/>
      <c r="V91" s="28"/>
      <c r="W91" s="29"/>
      <c r="X91" s="28"/>
      <c r="Y91" s="30"/>
      <c r="Z91" s="26"/>
    </row>
    <row r="92" ht="24.95" customHeight="1" spans="1:26">
      <c r="A92" s="24"/>
      <c r="B92" s="25"/>
      <c r="C92" s="25"/>
      <c r="D92" s="26"/>
      <c r="E92" s="27"/>
      <c r="F92" s="27"/>
      <c r="G92" s="28"/>
      <c r="H92" s="29"/>
      <c r="I92" s="28"/>
      <c r="J92" s="30"/>
      <c r="K92" s="26"/>
      <c r="P92" s="24"/>
      <c r="Q92" s="25"/>
      <c r="R92" s="25"/>
      <c r="S92" s="26"/>
      <c r="T92" s="27"/>
      <c r="U92" s="27"/>
      <c r="V92" s="28"/>
      <c r="W92" s="29"/>
      <c r="X92" s="28"/>
      <c r="Y92" s="30"/>
      <c r="Z92" s="26"/>
    </row>
    <row r="93" ht="24.95" customHeight="1" spans="1:26">
      <c r="A93" s="24"/>
      <c r="B93" s="25"/>
      <c r="C93" s="25"/>
      <c r="D93" s="26"/>
      <c r="E93" s="27"/>
      <c r="F93" s="27"/>
      <c r="G93" s="28"/>
      <c r="H93" s="29"/>
      <c r="I93" s="28"/>
      <c r="J93" s="30"/>
      <c r="K93" s="26"/>
      <c r="P93" s="24"/>
      <c r="Q93" s="25"/>
      <c r="R93" s="25"/>
      <c r="S93" s="26"/>
      <c r="T93" s="27"/>
      <c r="U93" s="27"/>
      <c r="V93" s="28"/>
      <c r="W93" s="29"/>
      <c r="X93" s="28"/>
      <c r="Y93" s="30"/>
      <c r="Z93" s="26"/>
    </row>
    <row r="94" ht="24.95" customHeight="1" spans="1:26">
      <c r="A94" s="24"/>
      <c r="B94" s="25"/>
      <c r="C94" s="25"/>
      <c r="D94" s="26"/>
      <c r="E94" s="27"/>
      <c r="F94" s="27"/>
      <c r="G94" s="28"/>
      <c r="H94" s="29"/>
      <c r="I94" s="28"/>
      <c r="J94" s="30"/>
      <c r="K94" s="26"/>
    </row>
    <row r="95" ht="24.95" customHeight="1" spans="1:26">
      <c r="A95" s="24"/>
      <c r="B95" s="25"/>
      <c r="C95" s="25"/>
      <c r="D95" s="26"/>
      <c r="E95" s="27"/>
      <c r="F95" s="27"/>
      <c r="G95" s="28"/>
      <c r="H95" s="29"/>
      <c r="I95" s="28"/>
      <c r="J95" s="30"/>
      <c r="K95" s="26"/>
    </row>
    <row r="96" ht="24.95" customHeight="1" spans="1:26">
      <c r="A96" s="24"/>
      <c r="B96" s="25"/>
      <c r="C96" s="25"/>
      <c r="D96" s="26"/>
      <c r="E96" s="27"/>
      <c r="F96" s="27"/>
      <c r="G96" s="28"/>
      <c r="H96" s="29"/>
      <c r="I96" s="28"/>
      <c r="J96" s="30"/>
      <c r="K96" s="26"/>
    </row>
    <row r="97" ht="24.95" customHeight="1" spans="1:11">
      <c r="A97" s="24"/>
      <c r="B97" s="25"/>
      <c r="C97" s="25"/>
      <c r="D97" s="26"/>
      <c r="E97" s="27"/>
      <c r="F97" s="27"/>
      <c r="G97" s="28"/>
      <c r="H97" s="29"/>
      <c r="I97" s="28"/>
      <c r="J97" s="30"/>
      <c r="K97" s="26"/>
    </row>
    <row r="98" ht="24.95" customHeight="1" spans="1:11">
      <c r="A98" s="24"/>
      <c r="B98" s="25"/>
      <c r="C98" s="25"/>
      <c r="D98" s="26"/>
      <c r="E98" s="27"/>
      <c r="F98" s="27"/>
      <c r="G98" s="28"/>
      <c r="H98" s="29"/>
      <c r="I98" s="28"/>
      <c r="J98" s="30"/>
      <c r="K98" s="26"/>
    </row>
    <row r="99" ht="24.95" customHeight="1" spans="1:11">
      <c r="A99" s="24"/>
      <c r="B99" s="25"/>
      <c r="C99" s="25"/>
      <c r="D99" s="26"/>
      <c r="E99" s="27"/>
      <c r="F99" s="27"/>
      <c r="G99" s="28"/>
      <c r="H99" s="29"/>
      <c r="I99" s="28"/>
      <c r="J99" s="30"/>
      <c r="K99" s="26"/>
    </row>
    <row r="100" ht="24.95" customHeight="1" spans="1:11">
      <c r="A100" s="24"/>
      <c r="B100" s="25"/>
      <c r="C100" s="25"/>
      <c r="D100" s="26"/>
      <c r="E100" s="27"/>
      <c r="F100" s="27"/>
      <c r="G100" s="28"/>
      <c r="H100" s="29"/>
      <c r="I100" s="28"/>
      <c r="J100" s="30"/>
      <c r="K100" s="26"/>
    </row>
    <row r="101" ht="24.95" customHeight="1" spans="1:11">
      <c r="A101" s="24"/>
      <c r="B101" s="25"/>
      <c r="C101" s="25"/>
      <c r="D101" s="26"/>
      <c r="E101" s="27"/>
      <c r="F101" s="27"/>
      <c r="G101" s="28"/>
      <c r="H101" s="29"/>
      <c r="I101" s="28"/>
      <c r="J101" s="30"/>
      <c r="K101" s="26"/>
    </row>
    <row r="102" ht="24.95" customHeight="1" spans="1:11">
      <c r="A102" s="24"/>
      <c r="B102" s="25"/>
      <c r="C102" s="25"/>
      <c r="D102" s="26"/>
      <c r="E102" s="27"/>
      <c r="F102" s="27"/>
      <c r="G102" s="28"/>
      <c r="H102" s="29"/>
      <c r="I102" s="28"/>
      <c r="J102" s="30"/>
      <c r="K102" s="26"/>
    </row>
    <row r="103" ht="24.95" customHeight="1" spans="1:11">
      <c r="A103" s="24"/>
      <c r="B103" s="25"/>
      <c r="C103" s="25"/>
      <c r="D103" s="26"/>
      <c r="E103" s="27"/>
      <c r="F103" s="27"/>
      <c r="G103" s="28"/>
      <c r="H103" s="29"/>
      <c r="I103" s="28"/>
      <c r="J103" s="30"/>
      <c r="K103" s="26"/>
    </row>
    <row r="104" ht="24.95" customHeight="1" spans="1:11">
      <c r="A104" s="24"/>
      <c r="B104" s="25"/>
      <c r="C104" s="25"/>
      <c r="D104" s="26"/>
      <c r="E104" s="27"/>
      <c r="F104" s="27"/>
      <c r="G104" s="28"/>
      <c r="H104" s="29"/>
      <c r="I104" s="28"/>
      <c r="J104" s="30"/>
      <c r="K104" s="26"/>
    </row>
    <row r="105" ht="24.95" customHeight="1" spans="1:11">
      <c r="A105" s="24"/>
      <c r="B105" s="25"/>
      <c r="C105" s="25"/>
      <c r="D105" s="26"/>
      <c r="E105" s="27"/>
      <c r="F105" s="27"/>
      <c r="G105" s="28"/>
      <c r="H105" s="29"/>
      <c r="I105" s="28"/>
      <c r="J105" s="30"/>
      <c r="K105" s="26"/>
    </row>
    <row r="106" ht="24.95" customHeight="1" spans="1:11">
      <c r="A106" s="24"/>
      <c r="B106" s="25"/>
      <c r="C106" s="25"/>
      <c r="D106" s="26"/>
      <c r="E106" s="27"/>
      <c r="F106" s="27"/>
      <c r="G106" s="28"/>
      <c r="H106" s="29"/>
      <c r="I106" s="28"/>
      <c r="J106" s="30"/>
      <c r="K106" s="26"/>
    </row>
    <row r="107" ht="24.95" customHeight="1" spans="1:11">
      <c r="A107" s="24"/>
      <c r="B107" s="25"/>
      <c r="C107" s="25"/>
      <c r="D107" s="26"/>
      <c r="E107" s="27"/>
      <c r="F107" s="27"/>
      <c r="G107" s="28"/>
      <c r="H107" s="29"/>
      <c r="I107" s="28"/>
      <c r="J107" s="30"/>
      <c r="K107" s="26"/>
    </row>
    <row r="108" ht="24.95" customHeight="1" spans="1:11">
      <c r="A108" s="24"/>
      <c r="B108" s="25"/>
      <c r="C108" s="25"/>
      <c r="D108" s="26"/>
      <c r="E108" s="27"/>
      <c r="F108" s="27"/>
      <c r="G108" s="28"/>
      <c r="H108" s="29"/>
      <c r="I108" s="28"/>
      <c r="J108" s="30"/>
      <c r="K108" s="26"/>
    </row>
    <row r="109" ht="24.95" customHeight="1" spans="1:11">
      <c r="A109" s="24"/>
      <c r="B109" s="25"/>
      <c r="C109" s="25"/>
      <c r="D109" s="26"/>
      <c r="E109" s="27"/>
      <c r="F109" s="27"/>
      <c r="G109" s="28"/>
      <c r="H109" s="29"/>
      <c r="I109" s="28"/>
      <c r="J109" s="30"/>
      <c r="K109" s="26"/>
    </row>
    <row r="110" ht="24.95" customHeight="1" spans="1:11">
      <c r="A110" s="24"/>
      <c r="B110" s="25"/>
      <c r="C110" s="25"/>
      <c r="D110" s="26"/>
      <c r="E110" s="27"/>
      <c r="F110" s="27"/>
      <c r="G110" s="28"/>
      <c r="H110" s="29"/>
      <c r="I110" s="28"/>
      <c r="J110" s="30"/>
      <c r="K110" s="26"/>
    </row>
    <row r="111" ht="24.95" customHeight="1" spans="1:11">
      <c r="A111" s="24"/>
      <c r="B111" s="25"/>
      <c r="C111" s="25"/>
      <c r="D111" s="26"/>
      <c r="E111" s="27"/>
      <c r="F111" s="27"/>
      <c r="G111" s="28"/>
      <c r="H111" s="29"/>
      <c r="I111" s="28"/>
      <c r="J111" s="30"/>
      <c r="K111" s="26"/>
    </row>
    <row r="112" ht="24.95" customHeight="1" spans="1:11">
      <c r="A112" s="24"/>
      <c r="B112" s="25"/>
      <c r="C112" s="25"/>
      <c r="D112" s="26"/>
      <c r="E112" s="27"/>
      <c r="F112" s="27"/>
      <c r="G112" s="28"/>
      <c r="H112" s="29"/>
      <c r="I112" s="28"/>
      <c r="J112" s="30"/>
      <c r="K112" s="26"/>
    </row>
    <row r="113" ht="24.95" customHeight="1" spans="1:13">
      <c r="A113" s="24"/>
      <c r="B113" s="25"/>
      <c r="C113" s="25"/>
      <c r="D113" s="26"/>
      <c r="E113" s="27"/>
      <c r="F113" s="27"/>
      <c r="G113" s="28"/>
      <c r="H113" s="29"/>
      <c r="I113" s="28"/>
      <c r="J113" s="30"/>
      <c r="K113" s="26"/>
      <c r="M113" s="1"/>
    </row>
    <row r="114" ht="24.95" customHeight="1" spans="1:13">
      <c r="A114" s="24"/>
      <c r="B114" s="25"/>
      <c r="C114" s="25"/>
      <c r="D114" s="26"/>
      <c r="E114" s="27"/>
      <c r="F114" s="27"/>
      <c r="G114" s="28"/>
      <c r="H114" s="29"/>
      <c r="I114" s="28"/>
      <c r="J114" s="30"/>
      <c r="K114" s="26"/>
      <c r="M114" s="1"/>
    </row>
    <row r="115" ht="24.95" customHeight="1" spans="1:13">
      <c r="A115" s="24"/>
      <c r="B115" s="25"/>
      <c r="C115" s="25"/>
      <c r="D115" s="26"/>
      <c r="E115" s="27"/>
      <c r="F115" s="27"/>
      <c r="G115" s="28"/>
      <c r="H115" s="29"/>
      <c r="I115" s="28"/>
      <c r="J115" s="30"/>
      <c r="K115" s="26"/>
      <c r="M115" s="1"/>
    </row>
    <row r="116" ht="24.95" customHeight="1" spans="1:13">
      <c r="A116" s="24"/>
      <c r="B116" s="25"/>
      <c r="C116" s="25"/>
      <c r="D116" s="26"/>
      <c r="E116" s="27"/>
      <c r="F116" s="27"/>
      <c r="G116" s="28"/>
      <c r="H116" s="29"/>
      <c r="I116" s="28"/>
      <c r="J116" s="30"/>
      <c r="K116" s="26"/>
      <c r="M116" s="1"/>
    </row>
    <row r="117" ht="24.95" customHeight="1" spans="1:13">
      <c r="A117" s="24"/>
      <c r="B117" s="25"/>
      <c r="C117" s="25"/>
      <c r="D117" s="26"/>
      <c r="E117" s="27"/>
      <c r="F117" s="27"/>
      <c r="G117" s="28"/>
      <c r="H117" s="29"/>
      <c r="I117" s="28"/>
      <c r="J117" s="30"/>
      <c r="K117" s="26"/>
      <c r="M117" s="1"/>
    </row>
    <row r="118" ht="24.95" customHeight="1" spans="1:13">
      <c r="A118" s="24"/>
      <c r="B118" s="25"/>
      <c r="C118" s="25"/>
      <c r="D118" s="26"/>
      <c r="E118" s="27"/>
      <c r="F118" s="27"/>
      <c r="G118" s="28"/>
      <c r="H118" s="29"/>
      <c r="I118" s="28"/>
      <c r="J118" s="30"/>
      <c r="K118" s="26"/>
    </row>
    <row r="119" ht="24.95" customHeight="1" spans="1:13">
      <c r="A119" s="24"/>
      <c r="B119" s="25"/>
      <c r="C119" s="25"/>
      <c r="D119" s="26"/>
      <c r="E119" s="27"/>
      <c r="F119" s="27"/>
      <c r="G119" s="28"/>
      <c r="H119" s="29"/>
      <c r="I119" s="28"/>
      <c r="J119" s="30"/>
      <c r="K119" s="26"/>
    </row>
    <row r="120" ht="24.95" customHeight="1" spans="1:13">
      <c r="A120" s="24"/>
      <c r="B120" s="25"/>
      <c r="C120" s="25"/>
      <c r="D120" s="26"/>
      <c r="E120" s="27"/>
      <c r="F120" s="27"/>
      <c r="G120" s="28"/>
      <c r="H120" s="29"/>
      <c r="I120" s="28"/>
      <c r="J120" s="30"/>
      <c r="K120" s="26"/>
    </row>
    <row r="121" ht="24.95" customHeight="1" spans="1:13">
      <c r="A121" s="24"/>
      <c r="B121" s="25"/>
      <c r="C121" s="25"/>
      <c r="D121" s="26"/>
      <c r="E121" s="27"/>
      <c r="F121" s="27"/>
      <c r="G121" s="28"/>
      <c r="H121" s="29"/>
      <c r="I121" s="28"/>
      <c r="J121" s="30"/>
      <c r="K121" s="26"/>
    </row>
    <row r="122" ht="24.95" customHeight="1" spans="1:13">
      <c r="A122" s="24"/>
      <c r="B122" s="25"/>
      <c r="C122" s="25"/>
      <c r="D122" s="26"/>
      <c r="E122" s="27"/>
      <c r="F122" s="27"/>
      <c r="G122" s="28"/>
      <c r="H122" s="29"/>
      <c r="I122" s="28"/>
      <c r="J122" s="30"/>
      <c r="K122" s="26"/>
    </row>
    <row r="123" ht="24.95" customHeight="1" spans="1:13">
      <c r="A123" s="24"/>
      <c r="B123" s="25"/>
      <c r="C123" s="25"/>
      <c r="D123" s="26"/>
      <c r="E123" s="27"/>
      <c r="F123" s="27"/>
      <c r="G123" s="28"/>
      <c r="H123" s="29"/>
      <c r="I123" s="28"/>
      <c r="J123" s="30"/>
      <c r="K123" s="26"/>
    </row>
    <row r="124" ht="24.95" customHeight="1" spans="1:13">
      <c r="A124" s="24"/>
      <c r="B124" s="25"/>
      <c r="C124" s="25"/>
      <c r="D124" s="26"/>
      <c r="E124" s="27"/>
      <c r="F124" s="27"/>
      <c r="G124" s="28"/>
      <c r="H124" s="29"/>
      <c r="I124" s="28"/>
      <c r="J124" s="30"/>
      <c r="K124" s="26"/>
    </row>
    <row r="125" ht="24.95" customHeight="1" spans="1:13">
      <c r="A125" s="24"/>
      <c r="B125" s="25"/>
      <c r="C125" s="25"/>
      <c r="D125" s="26"/>
      <c r="E125" s="27"/>
      <c r="F125" s="27"/>
      <c r="G125" s="28"/>
      <c r="H125" s="29"/>
      <c r="I125" s="28"/>
      <c r="J125" s="30"/>
      <c r="K125" s="26"/>
    </row>
    <row r="126" ht="24.95" customHeight="1" spans="1:13">
      <c r="A126" s="24"/>
      <c r="B126" s="25"/>
      <c r="C126" s="25"/>
      <c r="D126" s="26"/>
      <c r="E126" s="27"/>
      <c r="F126" s="27"/>
      <c r="G126" s="28"/>
      <c r="H126" s="29"/>
      <c r="I126" s="28"/>
      <c r="J126" s="30"/>
      <c r="K126" s="26"/>
    </row>
    <row r="127" ht="24.95" customHeight="1" spans="1:13">
      <c r="A127" s="24"/>
      <c r="B127" s="25"/>
      <c r="C127" s="25"/>
      <c r="D127" s="26"/>
      <c r="E127" s="27"/>
      <c r="F127" s="27"/>
      <c r="G127" s="28"/>
      <c r="H127" s="29"/>
      <c r="I127" s="28"/>
      <c r="J127" s="30"/>
      <c r="K127" s="26"/>
    </row>
    <row r="128" ht="24.95" customHeight="1" spans="1:13">
      <c r="A128" s="24"/>
      <c r="B128" s="25"/>
      <c r="C128" s="25"/>
      <c r="D128" s="26"/>
      <c r="E128" s="27"/>
      <c r="F128" s="27"/>
      <c r="G128" s="28"/>
      <c r="H128" s="29"/>
      <c r="I128" s="28"/>
      <c r="J128" s="30"/>
      <c r="K128" s="26"/>
    </row>
    <row r="129" ht="24.95" customHeight="1" spans="1:11">
      <c r="A129" s="24"/>
      <c r="B129" s="25"/>
      <c r="C129" s="25"/>
      <c r="D129" s="26"/>
      <c r="E129" s="27"/>
      <c r="F129" s="27"/>
      <c r="G129" s="28"/>
      <c r="H129" s="29"/>
      <c r="I129" s="28"/>
      <c r="J129" s="30"/>
      <c r="K129" s="26"/>
    </row>
    <row r="130" ht="24.95" customHeight="1" spans="1:11">
      <c r="A130" s="24"/>
      <c r="B130" s="25"/>
      <c r="C130" s="25"/>
      <c r="D130" s="26"/>
      <c r="E130" s="27"/>
      <c r="F130" s="27"/>
      <c r="G130" s="28"/>
      <c r="H130" s="29"/>
      <c r="I130" s="28"/>
      <c r="J130" s="30"/>
      <c r="K130" s="26"/>
    </row>
    <row r="131" ht="24.95" customHeight="1" spans="1:11">
      <c r="A131" s="24"/>
      <c r="B131" s="25"/>
      <c r="C131" s="25"/>
      <c r="D131" s="26"/>
      <c r="E131" s="27"/>
      <c r="F131" s="27"/>
      <c r="G131" s="28"/>
      <c r="H131" s="29"/>
      <c r="I131" s="28"/>
      <c r="J131" s="30"/>
      <c r="K131" s="26"/>
    </row>
    <row r="132" ht="24.95" customHeight="1" spans="1:11">
      <c r="A132" s="24"/>
      <c r="B132" s="25"/>
      <c r="C132" s="25"/>
      <c r="D132" s="26"/>
      <c r="E132" s="27"/>
      <c r="F132" s="27"/>
      <c r="G132" s="28"/>
      <c r="H132" s="29"/>
      <c r="I132" s="28"/>
      <c r="J132" s="30"/>
      <c r="K132" s="26"/>
    </row>
    <row r="133" ht="24.95" customHeight="1" spans="1:11">
      <c r="A133" s="24"/>
      <c r="B133" s="25"/>
      <c r="C133" s="25"/>
      <c r="D133" s="26"/>
      <c r="E133" s="27"/>
      <c r="F133" s="27"/>
      <c r="G133" s="28"/>
      <c r="H133" s="29"/>
      <c r="I133" s="28"/>
      <c r="J133" s="30"/>
      <c r="K133" s="26"/>
    </row>
    <row r="134" ht="24.95" customHeight="1" spans="1:11">
      <c r="A134" s="24"/>
      <c r="B134" s="25"/>
      <c r="C134" s="25"/>
      <c r="D134" s="26"/>
      <c r="E134" s="27"/>
      <c r="F134" s="27"/>
      <c r="G134" s="28"/>
      <c r="H134" s="29"/>
      <c r="I134" s="28"/>
      <c r="J134" s="30"/>
      <c r="K134" s="26"/>
    </row>
    <row r="135" ht="24.95" customHeight="1" spans="1:11">
      <c r="A135" s="24"/>
      <c r="B135" s="25"/>
      <c r="C135" s="25"/>
      <c r="D135" s="26"/>
      <c r="E135" s="27"/>
      <c r="F135" s="27"/>
      <c r="G135" s="28"/>
      <c r="H135" s="29"/>
      <c r="I135" s="28"/>
      <c r="J135" s="30"/>
      <c r="K135" s="26"/>
    </row>
    <row r="136" ht="24.95" customHeight="1" spans="1:11">
      <c r="A136" s="24"/>
      <c r="B136" s="25"/>
      <c r="C136" s="25"/>
      <c r="D136" s="26"/>
      <c r="E136" s="27"/>
      <c r="F136" s="27"/>
      <c r="G136" s="28"/>
      <c r="H136" s="29"/>
      <c r="I136" s="28"/>
      <c r="J136" s="30"/>
      <c r="K136" s="26"/>
    </row>
    <row r="137" ht="24.95" customHeight="1" spans="1:11">
      <c r="A137" s="24"/>
      <c r="B137" s="25"/>
      <c r="C137" s="25"/>
      <c r="D137" s="26"/>
      <c r="E137" s="27"/>
      <c r="F137" s="27"/>
      <c r="G137" s="28"/>
      <c r="H137" s="29"/>
      <c r="I137" s="28"/>
      <c r="J137" s="30"/>
      <c r="K137" s="26"/>
    </row>
    <row r="138" ht="24.95" customHeight="1" spans="1:11">
      <c r="A138" s="24"/>
      <c r="B138" s="25"/>
      <c r="C138" s="25"/>
      <c r="D138" s="26"/>
      <c r="E138" s="27"/>
      <c r="F138" s="27"/>
      <c r="G138" s="28"/>
      <c r="H138" s="29"/>
      <c r="I138" s="28"/>
      <c r="J138" s="30"/>
      <c r="K138" s="26"/>
    </row>
    <row r="139" ht="24.95" customHeight="1" spans="1:11">
      <c r="A139" s="24"/>
      <c r="B139" s="25"/>
      <c r="C139" s="25"/>
      <c r="D139" s="26"/>
      <c r="E139" s="27"/>
      <c r="F139" s="27"/>
      <c r="G139" s="28"/>
      <c r="H139" s="29"/>
      <c r="I139" s="28"/>
      <c r="J139" s="30"/>
      <c r="K139" s="26"/>
    </row>
    <row r="140" ht="24.95" customHeight="1" spans="1:11">
      <c r="A140" s="24"/>
      <c r="B140" s="25"/>
      <c r="C140" s="25"/>
      <c r="D140" s="26"/>
      <c r="E140" s="27"/>
      <c r="F140" s="27"/>
      <c r="G140" s="28"/>
      <c r="H140" s="29"/>
      <c r="I140" s="28"/>
      <c r="J140" s="30"/>
      <c r="K140" s="26"/>
    </row>
    <row r="141" ht="24.95" customHeight="1" spans="1:11">
      <c r="A141" s="24"/>
      <c r="B141" s="25"/>
      <c r="C141" s="25"/>
      <c r="D141" s="26"/>
      <c r="E141" s="27"/>
      <c r="F141" s="27"/>
      <c r="G141" s="28"/>
      <c r="H141" s="29"/>
      <c r="I141" s="28"/>
      <c r="J141" s="30"/>
      <c r="K141" s="26"/>
    </row>
    <row r="142" ht="24.95" customHeight="1" spans="1:11">
      <c r="A142" s="24"/>
      <c r="B142" s="25"/>
      <c r="C142" s="25"/>
      <c r="D142" s="26"/>
      <c r="E142" s="27"/>
      <c r="F142" s="27"/>
      <c r="G142" s="28"/>
      <c r="H142" s="29"/>
      <c r="I142" s="28"/>
      <c r="J142" s="30"/>
      <c r="K142" s="26"/>
    </row>
    <row r="143" ht="24.95" customHeight="1" spans="1:11">
      <c r="A143" s="24"/>
      <c r="B143" s="25"/>
      <c r="C143" s="25"/>
      <c r="D143" s="26"/>
      <c r="E143" s="27"/>
      <c r="F143" s="27"/>
      <c r="G143" s="28"/>
      <c r="H143" s="29"/>
      <c r="I143" s="28"/>
      <c r="J143" s="30"/>
      <c r="K143" s="26"/>
    </row>
    <row r="144" ht="24.95" customHeight="1" spans="1:11">
      <c r="A144" s="24"/>
      <c r="B144" s="25"/>
      <c r="C144" s="25"/>
      <c r="D144" s="26"/>
      <c r="E144" s="27"/>
      <c r="F144" s="27"/>
      <c r="G144" s="28"/>
      <c r="H144" s="29"/>
      <c r="I144" s="28"/>
      <c r="J144" s="30"/>
      <c r="K144" s="26"/>
    </row>
    <row r="145" ht="24.95" customHeight="1" spans="1:11">
      <c r="A145" s="24"/>
      <c r="B145" s="25"/>
      <c r="C145" s="25"/>
      <c r="D145" s="26"/>
      <c r="E145" s="27"/>
      <c r="F145" s="27"/>
      <c r="G145" s="28"/>
      <c r="H145" s="29"/>
      <c r="I145" s="28"/>
      <c r="J145" s="30"/>
      <c r="K145" s="26"/>
    </row>
    <row r="146" ht="24.95" customHeight="1" spans="1:11">
      <c r="A146" s="24"/>
      <c r="B146" s="25"/>
      <c r="C146" s="25"/>
      <c r="D146" s="26"/>
      <c r="E146" s="27"/>
      <c r="F146" s="27"/>
      <c r="G146" s="28"/>
      <c r="H146" s="29"/>
      <c r="I146" s="28"/>
      <c r="J146" s="30"/>
      <c r="K146" s="26"/>
    </row>
    <row r="147" ht="24.95" customHeight="1" spans="1:11">
      <c r="A147" s="24"/>
      <c r="B147" s="25"/>
      <c r="C147" s="25"/>
      <c r="D147" s="26"/>
      <c r="E147" s="27"/>
      <c r="F147" s="27"/>
      <c r="G147" s="28"/>
      <c r="H147" s="29"/>
      <c r="I147" s="28"/>
      <c r="J147" s="30"/>
      <c r="K147" s="26"/>
    </row>
    <row r="148" ht="24.95" customHeight="1" spans="1:11">
      <c r="A148" s="24"/>
      <c r="B148" s="25"/>
      <c r="C148" s="25"/>
      <c r="D148" s="26"/>
      <c r="E148" s="27"/>
      <c r="F148" s="27"/>
      <c r="G148" s="28"/>
      <c r="H148" s="29"/>
      <c r="I148" s="28"/>
      <c r="J148" s="30"/>
      <c r="K148" s="26"/>
    </row>
    <row r="149" ht="24.95" customHeight="1" spans="1:11">
      <c r="A149" s="24"/>
      <c r="B149" s="25"/>
      <c r="C149" s="25"/>
      <c r="D149" s="26"/>
      <c r="E149" s="27"/>
      <c r="F149" s="27"/>
      <c r="G149" s="28"/>
      <c r="H149" s="29"/>
      <c r="I149" s="28"/>
      <c r="J149" s="30"/>
      <c r="K149" s="26"/>
    </row>
    <row r="150" ht="24.95" customHeight="1" spans="1:11">
      <c r="A150" s="24"/>
      <c r="B150" s="25"/>
      <c r="C150" s="25"/>
      <c r="D150" s="26"/>
      <c r="E150" s="27"/>
      <c r="F150" s="27"/>
      <c r="G150" s="28"/>
      <c r="H150" s="29"/>
      <c r="I150" s="28"/>
      <c r="J150" s="30"/>
      <c r="K150" s="26"/>
    </row>
    <row r="151" ht="24.95" customHeight="1" spans="1:11">
      <c r="A151" s="24"/>
      <c r="B151" s="25"/>
      <c r="C151" s="25"/>
      <c r="D151" s="26"/>
      <c r="E151" s="27"/>
      <c r="F151" s="27"/>
      <c r="G151" s="28"/>
      <c r="H151" s="29"/>
      <c r="I151" s="28"/>
      <c r="J151" s="30"/>
      <c r="K151" s="26"/>
    </row>
    <row r="152" ht="24.95" customHeight="1" spans="1:11">
      <c r="A152" s="24"/>
      <c r="B152" s="25"/>
      <c r="C152" s="25"/>
      <c r="D152" s="26"/>
      <c r="E152" s="27"/>
      <c r="F152" s="27"/>
      <c r="G152" s="28"/>
      <c r="H152" s="29"/>
      <c r="I152" s="28"/>
      <c r="J152" s="30"/>
      <c r="K152" s="26"/>
    </row>
    <row r="153" ht="24.95" customHeight="1" spans="1:11">
      <c r="A153" s="24"/>
      <c r="B153" s="25"/>
      <c r="C153" s="25"/>
      <c r="D153" s="26"/>
      <c r="E153" s="27"/>
      <c r="F153" s="27"/>
      <c r="G153" s="28"/>
      <c r="H153" s="29"/>
      <c r="I153" s="28"/>
      <c r="J153" s="30"/>
      <c r="K153" s="26"/>
    </row>
    <row r="154" ht="24.95" customHeight="1" spans="1:11">
      <c r="A154" s="24"/>
      <c r="B154" s="25"/>
      <c r="C154" s="25"/>
      <c r="D154" s="26"/>
      <c r="E154" s="27"/>
      <c r="F154" s="27"/>
      <c r="G154" s="28"/>
      <c r="H154" s="29"/>
      <c r="I154" s="28"/>
      <c r="J154" s="30"/>
      <c r="K154" s="26"/>
    </row>
    <row r="155" ht="24.95" customHeight="1" spans="1:11">
      <c r="A155" s="24"/>
      <c r="B155" s="25"/>
      <c r="C155" s="25"/>
      <c r="D155" s="26"/>
      <c r="E155" s="27"/>
      <c r="F155" s="27"/>
      <c r="G155" s="28"/>
      <c r="H155" s="29"/>
      <c r="I155" s="28"/>
      <c r="J155" s="30"/>
      <c r="K155" s="26"/>
    </row>
    <row r="156" ht="24.95" customHeight="1" spans="1:11">
      <c r="A156" s="24"/>
      <c r="B156" s="25"/>
      <c r="C156" s="25"/>
      <c r="D156" s="26"/>
      <c r="E156" s="27"/>
      <c r="F156" s="27"/>
      <c r="G156" s="28"/>
      <c r="H156" s="29"/>
      <c r="I156" s="28"/>
      <c r="J156" s="30"/>
      <c r="K156" s="26"/>
    </row>
    <row r="157" ht="24.95" customHeight="1" spans="1:11">
      <c r="A157" s="24"/>
      <c r="B157" s="25"/>
      <c r="C157" s="25"/>
      <c r="D157" s="26"/>
      <c r="E157" s="27"/>
      <c r="F157" s="27"/>
      <c r="G157" s="28"/>
      <c r="H157" s="29"/>
      <c r="I157" s="28"/>
      <c r="J157" s="30"/>
      <c r="K157" s="26"/>
    </row>
    <row r="158" ht="24.95" customHeight="1" spans="1:11">
      <c r="A158" s="24"/>
      <c r="B158" s="25"/>
      <c r="C158" s="25"/>
      <c r="D158" s="26"/>
      <c r="E158" s="27"/>
      <c r="F158" s="27"/>
      <c r="G158" s="28"/>
      <c r="H158" s="29"/>
      <c r="I158" s="28"/>
      <c r="J158" s="30"/>
      <c r="K158" s="26"/>
    </row>
    <row r="159" ht="24.95" customHeight="1" spans="1:11">
      <c r="A159" s="24"/>
      <c r="B159" s="25"/>
      <c r="C159" s="25"/>
      <c r="D159" s="26"/>
      <c r="E159" s="27"/>
      <c r="F159" s="27"/>
      <c r="G159" s="28"/>
      <c r="H159" s="29"/>
      <c r="I159" s="28"/>
      <c r="J159" s="30"/>
      <c r="K159" s="26"/>
    </row>
    <row r="160" ht="24.95" customHeight="1" spans="1:11">
      <c r="A160" s="24"/>
      <c r="B160" s="25"/>
      <c r="C160" s="25"/>
      <c r="D160" s="26"/>
      <c r="E160" s="27"/>
      <c r="F160" s="27"/>
      <c r="G160" s="28"/>
      <c r="H160" s="29"/>
      <c r="I160" s="28"/>
      <c r="J160" s="30"/>
      <c r="K160" s="26"/>
    </row>
    <row r="161" ht="24.95" customHeight="1" spans="1:11">
      <c r="A161" s="24"/>
      <c r="B161" s="25"/>
      <c r="C161" s="25"/>
      <c r="D161" s="26"/>
      <c r="E161" s="27"/>
      <c r="F161" s="27"/>
      <c r="G161" s="28"/>
      <c r="H161" s="29"/>
      <c r="I161" s="28"/>
      <c r="J161" s="30"/>
      <c r="K161" s="26"/>
    </row>
    <row r="162" ht="24.95" customHeight="1" spans="1:11">
      <c r="A162" s="24"/>
      <c r="B162" s="25"/>
      <c r="C162" s="25"/>
      <c r="D162" s="26"/>
      <c r="E162" s="27"/>
      <c r="F162" s="27"/>
      <c r="G162" s="28"/>
      <c r="H162" s="29"/>
      <c r="I162" s="28"/>
      <c r="J162" s="30"/>
      <c r="K162" s="26"/>
    </row>
    <row r="163" ht="24.95" customHeight="1" spans="1:11">
      <c r="A163" s="24"/>
      <c r="B163" s="25"/>
      <c r="C163" s="25"/>
      <c r="D163" s="26"/>
      <c r="E163" s="27"/>
      <c r="F163" s="27"/>
      <c r="G163" s="28"/>
      <c r="H163" s="29"/>
      <c r="I163" s="28"/>
      <c r="J163" s="30"/>
      <c r="K163" s="26"/>
    </row>
    <row r="164" ht="24.95" customHeight="1" spans="1:11">
      <c r="A164" s="24"/>
      <c r="B164" s="25"/>
      <c r="C164" s="25"/>
      <c r="D164" s="26"/>
      <c r="E164" s="27"/>
      <c r="F164" s="27"/>
      <c r="G164" s="28"/>
      <c r="H164" s="29"/>
      <c r="I164" s="28"/>
      <c r="J164" s="30"/>
      <c r="K164" s="26"/>
    </row>
    <row r="165" ht="24.95" customHeight="1" spans="1:11">
      <c r="A165" s="24"/>
      <c r="B165" s="25"/>
      <c r="C165" s="25"/>
      <c r="D165" s="26"/>
      <c r="E165" s="27"/>
      <c r="F165" s="27"/>
      <c r="G165" s="28"/>
      <c r="H165" s="29"/>
      <c r="I165" s="28"/>
      <c r="J165" s="30"/>
      <c r="K165" s="26"/>
    </row>
    <row r="166" ht="24.95" customHeight="1" spans="1:11">
      <c r="A166" s="24"/>
      <c r="B166" s="25"/>
      <c r="C166" s="25"/>
      <c r="D166" s="26"/>
      <c r="E166" s="27"/>
      <c r="F166" s="27"/>
      <c r="G166" s="28"/>
      <c r="H166" s="29"/>
      <c r="I166" s="28"/>
      <c r="J166" s="30"/>
      <c r="K166" s="26"/>
    </row>
    <row r="167" ht="24.95" customHeight="1" spans="1:11">
      <c r="A167" s="24"/>
      <c r="B167" s="25"/>
      <c r="C167" s="25"/>
      <c r="D167" s="26"/>
      <c r="E167" s="27"/>
      <c r="F167" s="27"/>
      <c r="G167" s="28"/>
      <c r="H167" s="29"/>
      <c r="I167" s="28"/>
      <c r="J167" s="30"/>
      <c r="K167" s="26"/>
    </row>
    <row r="168" ht="24.95" customHeight="1" spans="1:11">
      <c r="A168" s="24"/>
      <c r="B168" s="25"/>
      <c r="C168" s="25"/>
      <c r="D168" s="26"/>
      <c r="E168" s="27"/>
      <c r="F168" s="27"/>
      <c r="G168" s="28"/>
      <c r="H168" s="29"/>
      <c r="I168" s="28"/>
      <c r="J168" s="30"/>
      <c r="K168" s="26"/>
    </row>
    <row r="169" ht="24.95" customHeight="1" spans="1:11">
      <c r="A169" s="24"/>
      <c r="B169" s="25"/>
      <c r="C169" s="25"/>
      <c r="D169" s="26"/>
      <c r="E169" s="27"/>
      <c r="F169" s="27"/>
      <c r="G169" s="28"/>
      <c r="H169" s="29"/>
      <c r="I169" s="28"/>
      <c r="J169" s="30"/>
      <c r="K169" s="26"/>
    </row>
    <row r="170" ht="24.95" customHeight="1" spans="1:11">
      <c r="A170" s="24"/>
      <c r="B170" s="25"/>
      <c r="C170" s="25"/>
      <c r="D170" s="26"/>
      <c r="E170" s="27"/>
      <c r="F170" s="27"/>
      <c r="G170" s="28"/>
      <c r="H170" s="29"/>
      <c r="I170" s="28"/>
      <c r="J170" s="30"/>
      <c r="K170" s="26"/>
    </row>
    <row r="171" ht="24.95" customHeight="1" spans="1:11">
      <c r="A171" s="24"/>
      <c r="B171" s="25"/>
      <c r="C171" s="25"/>
      <c r="D171" s="26"/>
      <c r="E171" s="27"/>
      <c r="F171" s="27"/>
      <c r="G171" s="28"/>
      <c r="H171" s="29"/>
      <c r="I171" s="28"/>
      <c r="J171" s="30"/>
      <c r="K171" s="26"/>
    </row>
    <row r="172" ht="24.95" customHeight="1" spans="1:11">
      <c r="A172" s="24"/>
      <c r="B172" s="25"/>
      <c r="C172" s="25"/>
      <c r="D172" s="26"/>
      <c r="E172" s="27"/>
      <c r="F172" s="27"/>
      <c r="G172" s="28"/>
      <c r="H172" s="29"/>
      <c r="I172" s="28"/>
      <c r="J172" s="30"/>
      <c r="K172" s="26"/>
    </row>
    <row r="173" ht="24.95" customHeight="1" spans="1:11">
      <c r="A173" s="24"/>
      <c r="B173" s="25"/>
      <c r="C173" s="25"/>
      <c r="D173" s="26"/>
      <c r="E173" s="27"/>
      <c r="F173" s="27"/>
      <c r="G173" s="28"/>
      <c r="H173" s="29"/>
      <c r="I173" s="28"/>
      <c r="J173" s="30"/>
      <c r="K173" s="26"/>
    </row>
    <row r="174" ht="24.95" customHeight="1" spans="1:11">
      <c r="A174" s="24"/>
      <c r="B174" s="25"/>
      <c r="C174" s="25"/>
      <c r="D174" s="26"/>
      <c r="E174" s="27"/>
      <c r="F174" s="27"/>
      <c r="G174" s="28"/>
      <c r="H174" s="29"/>
      <c r="I174" s="28"/>
      <c r="J174" s="30"/>
      <c r="K174" s="26"/>
    </row>
    <row r="175" ht="24.95" customHeight="1" spans="1:11">
      <c r="A175" s="24"/>
      <c r="B175" s="25"/>
      <c r="C175" s="25"/>
      <c r="D175" s="26"/>
      <c r="E175" s="27"/>
      <c r="F175" s="27"/>
      <c r="G175" s="28"/>
      <c r="H175" s="29"/>
      <c r="I175" s="28"/>
      <c r="J175" s="30"/>
      <c r="K175" s="26"/>
    </row>
    <row r="176" ht="24.95" customHeight="1" spans="1:11">
      <c r="A176" s="24"/>
      <c r="B176" s="25"/>
      <c r="C176" s="25"/>
      <c r="D176" s="26"/>
      <c r="E176" s="27"/>
      <c r="F176" s="27"/>
      <c r="G176" s="28"/>
      <c r="H176" s="29"/>
      <c r="I176" s="28"/>
      <c r="J176" s="30"/>
      <c r="K176" s="26"/>
    </row>
    <row r="177" ht="24.95" customHeight="1" spans="1:11">
      <c r="A177" s="24"/>
      <c r="B177" s="25"/>
      <c r="C177" s="25"/>
      <c r="D177" s="26"/>
      <c r="E177" s="27"/>
      <c r="F177" s="27"/>
      <c r="G177" s="28"/>
      <c r="H177" s="29"/>
      <c r="I177" s="28"/>
      <c r="J177" s="30"/>
      <c r="K177" s="26"/>
    </row>
    <row r="178" ht="24.95" customHeight="1" spans="1:11">
      <c r="A178" s="24"/>
      <c r="B178" s="25"/>
      <c r="C178" s="25"/>
      <c r="D178" s="26"/>
      <c r="E178" s="27"/>
      <c r="F178" s="27"/>
      <c r="G178" s="28"/>
      <c r="H178" s="29"/>
      <c r="I178" s="28"/>
      <c r="J178" s="30"/>
      <c r="K178" s="26"/>
    </row>
    <row r="179" ht="24.95" customHeight="1" spans="1:11">
      <c r="A179" s="24"/>
      <c r="B179" s="25"/>
      <c r="C179" s="25"/>
      <c r="D179" s="26"/>
      <c r="E179" s="27"/>
      <c r="F179" s="27"/>
      <c r="G179" s="28"/>
      <c r="H179" s="29"/>
      <c r="I179" s="28"/>
      <c r="J179" s="30"/>
      <c r="K179" s="26"/>
    </row>
    <row r="180" ht="24.95" customHeight="1" spans="1:11">
      <c r="A180" s="24"/>
      <c r="B180" s="25"/>
      <c r="C180" s="25"/>
      <c r="D180" s="26"/>
      <c r="E180" s="27"/>
      <c r="F180" s="27"/>
      <c r="G180" s="28"/>
      <c r="H180" s="29"/>
      <c r="I180" s="28"/>
      <c r="J180" s="30"/>
      <c r="K180" s="26"/>
    </row>
    <row r="181" ht="24.95" customHeight="1" spans="1:11">
      <c r="A181" s="24"/>
      <c r="B181" s="25"/>
      <c r="C181" s="25"/>
      <c r="D181" s="26"/>
      <c r="E181" s="27"/>
      <c r="F181" s="27"/>
      <c r="G181" s="28"/>
      <c r="H181" s="29"/>
      <c r="I181" s="28"/>
      <c r="J181" s="30"/>
      <c r="K181" s="26"/>
    </row>
    <row r="182" ht="24.95" customHeight="1" spans="1:11">
      <c r="A182" s="24"/>
      <c r="B182" s="25"/>
      <c r="C182" s="25"/>
      <c r="D182" s="26"/>
      <c r="E182" s="27"/>
      <c r="F182" s="27"/>
      <c r="G182" s="28"/>
      <c r="H182" s="29"/>
      <c r="I182" s="28"/>
      <c r="J182" s="30"/>
      <c r="K182" s="26"/>
    </row>
    <row r="183" ht="24.95" customHeight="1" spans="1:11">
      <c r="A183" s="24"/>
      <c r="B183" s="25"/>
      <c r="C183" s="25"/>
      <c r="D183" s="26"/>
      <c r="E183" s="27"/>
      <c r="F183" s="27"/>
      <c r="G183" s="28"/>
      <c r="H183" s="29"/>
      <c r="I183" s="28"/>
      <c r="J183" s="30"/>
      <c r="K183" s="26"/>
    </row>
    <row r="184" ht="24.95" customHeight="1" spans="1:11">
      <c r="A184" s="24"/>
      <c r="B184" s="25"/>
      <c r="C184" s="25"/>
      <c r="D184" s="26"/>
      <c r="E184" s="27"/>
      <c r="F184" s="27"/>
      <c r="G184" s="28"/>
      <c r="H184" s="29"/>
      <c r="I184" s="28"/>
      <c r="J184" s="30"/>
      <c r="K184" s="26"/>
    </row>
    <row r="185" ht="24.95" customHeight="1" spans="1:11">
      <c r="A185" s="24"/>
      <c r="B185" s="25"/>
      <c r="C185" s="25"/>
      <c r="D185" s="26"/>
      <c r="E185" s="27"/>
      <c r="F185" s="27"/>
      <c r="G185" s="28"/>
      <c r="H185" s="29"/>
      <c r="I185" s="28"/>
      <c r="J185" s="30"/>
      <c r="K185" s="26"/>
    </row>
    <row r="186" ht="24.95" customHeight="1" spans="1:11">
      <c r="A186" s="24"/>
      <c r="B186" s="25"/>
      <c r="C186" s="25"/>
      <c r="D186" s="26"/>
      <c r="E186" s="27"/>
      <c r="F186" s="27"/>
      <c r="G186" s="28"/>
      <c r="H186" s="29"/>
      <c r="I186" s="28"/>
      <c r="J186" s="30"/>
      <c r="K186" s="26"/>
    </row>
    <row r="187" ht="24.95" customHeight="1" spans="1:11">
      <c r="A187" s="24"/>
      <c r="B187" s="25"/>
      <c r="C187" s="25"/>
      <c r="D187" s="26"/>
      <c r="E187" s="27"/>
      <c r="F187" s="27"/>
      <c r="G187" s="28"/>
      <c r="H187" s="29"/>
      <c r="I187" s="28"/>
      <c r="J187" s="30"/>
      <c r="K187" s="26"/>
    </row>
    <row r="188" ht="24.95" customHeight="1" spans="1:11">
      <c r="A188" s="24"/>
      <c r="B188" s="25"/>
      <c r="C188" s="25"/>
      <c r="D188" s="26"/>
      <c r="E188" s="27"/>
      <c r="F188" s="27"/>
      <c r="G188" s="28"/>
      <c r="H188" s="29"/>
      <c r="I188" s="28"/>
      <c r="J188" s="30"/>
      <c r="K188" s="26"/>
    </row>
    <row r="189" ht="24.95" customHeight="1" spans="1:11">
      <c r="A189" s="24"/>
      <c r="B189" s="25"/>
      <c r="C189" s="25"/>
      <c r="D189" s="26"/>
      <c r="E189" s="27"/>
      <c r="F189" s="27"/>
      <c r="G189" s="28"/>
      <c r="H189" s="29"/>
      <c r="I189" s="28"/>
      <c r="J189" s="30"/>
      <c r="K189" s="26"/>
    </row>
    <row r="190" ht="24.95" customHeight="1" spans="1:11">
      <c r="A190" s="24"/>
      <c r="B190" s="25"/>
      <c r="C190" s="25"/>
      <c r="D190" s="26"/>
      <c r="E190" s="27"/>
      <c r="F190" s="27"/>
      <c r="G190" s="28"/>
      <c r="H190" s="29"/>
      <c r="I190" s="28"/>
      <c r="J190" s="30"/>
      <c r="K190" s="26"/>
    </row>
    <row r="191" ht="24.95" customHeight="1" spans="1:11">
      <c r="A191" s="24"/>
      <c r="B191" s="25"/>
      <c r="C191" s="25"/>
      <c r="D191" s="26"/>
      <c r="E191" s="27"/>
      <c r="F191" s="27"/>
      <c r="G191" s="28"/>
      <c r="H191" s="29"/>
      <c r="I191" s="28"/>
      <c r="J191" s="30"/>
      <c r="K191" s="26"/>
    </row>
    <row r="192" ht="24.95" customHeight="1" spans="1:11">
      <c r="A192" s="24"/>
      <c r="B192" s="25"/>
      <c r="C192" s="25"/>
      <c r="D192" s="26"/>
      <c r="E192" s="27"/>
      <c r="F192" s="27"/>
      <c r="G192" s="28"/>
      <c r="H192" s="29"/>
      <c r="I192" s="28"/>
      <c r="J192" s="30"/>
      <c r="K192" s="26"/>
    </row>
    <row r="193" ht="24.95" customHeight="1" spans="1:11">
      <c r="A193" s="24"/>
      <c r="B193" s="25"/>
      <c r="C193" s="25"/>
      <c r="D193" s="26"/>
      <c r="E193" s="27"/>
      <c r="F193" s="27"/>
      <c r="G193" s="28"/>
      <c r="H193" s="29"/>
      <c r="I193" s="28"/>
      <c r="J193" s="30"/>
      <c r="K193" s="26"/>
    </row>
    <row r="194" ht="24.95" customHeight="1" spans="1:11">
      <c r="A194" s="24"/>
      <c r="B194" s="25"/>
      <c r="C194" s="25"/>
      <c r="D194" s="26"/>
      <c r="E194" s="27"/>
      <c r="F194" s="27"/>
      <c r="G194" s="28"/>
      <c r="H194" s="29"/>
      <c r="I194" s="28"/>
      <c r="J194" s="30"/>
      <c r="K194" s="26"/>
    </row>
    <row r="195" ht="24.95" customHeight="1" spans="1:11">
      <c r="A195" s="24"/>
      <c r="B195" s="25"/>
      <c r="C195" s="25"/>
      <c r="D195" s="26"/>
      <c r="E195" s="27"/>
      <c r="F195" s="27"/>
      <c r="G195" s="28"/>
      <c r="H195" s="29"/>
      <c r="I195" s="28"/>
      <c r="J195" s="30"/>
      <c r="K195" s="26"/>
    </row>
    <row r="196" ht="24.95" customHeight="1" spans="1:11">
      <c r="A196" s="24"/>
      <c r="B196" s="25"/>
      <c r="C196" s="25"/>
      <c r="D196" s="26"/>
      <c r="E196" s="27"/>
      <c r="F196" s="27"/>
      <c r="G196" s="28"/>
      <c r="H196" s="29"/>
      <c r="I196" s="28"/>
      <c r="J196" s="30"/>
      <c r="K196" s="26"/>
    </row>
    <row r="197" ht="24.95" customHeight="1" spans="1:11">
      <c r="A197" s="24"/>
      <c r="B197" s="25"/>
      <c r="C197" s="25"/>
      <c r="D197" s="26"/>
      <c r="E197" s="27"/>
      <c r="F197" s="27"/>
      <c r="G197" s="28"/>
      <c r="H197" s="29"/>
      <c r="I197" s="28"/>
      <c r="J197" s="30"/>
      <c r="K197" s="26"/>
    </row>
    <row r="198" ht="24.95" customHeight="1" spans="1:11">
      <c r="A198" s="24"/>
      <c r="B198" s="25"/>
      <c r="C198" s="25"/>
      <c r="D198" s="26"/>
      <c r="E198" s="27"/>
      <c r="F198" s="27"/>
      <c r="G198" s="28"/>
      <c r="H198" s="29"/>
      <c r="I198" s="28"/>
      <c r="J198" s="30"/>
      <c r="K198" s="26"/>
    </row>
    <row r="199" ht="24.95" customHeight="1" spans="1:11">
      <c r="A199" s="24"/>
      <c r="B199" s="25"/>
      <c r="C199" s="25"/>
      <c r="D199" s="26"/>
      <c r="E199" s="27"/>
      <c r="F199" s="27"/>
      <c r="G199" s="28"/>
      <c r="H199" s="29"/>
      <c r="I199" s="28"/>
      <c r="J199" s="30"/>
      <c r="K199" s="26"/>
    </row>
    <row r="200" ht="24.95" customHeight="1" spans="1:11">
      <c r="A200" s="24"/>
      <c r="B200" s="25"/>
      <c r="C200" s="25"/>
      <c r="D200" s="26"/>
      <c r="E200" s="27"/>
      <c r="F200" s="27"/>
      <c r="G200" s="28"/>
      <c r="H200" s="29"/>
      <c r="I200" s="28"/>
      <c r="J200" s="30"/>
      <c r="K200" s="26"/>
    </row>
    <row r="201" ht="24.95" customHeight="1" spans="1:11">
      <c r="A201" s="24"/>
      <c r="B201" s="25"/>
      <c r="C201" s="25"/>
      <c r="D201" s="26"/>
      <c r="E201" s="27"/>
      <c r="F201" s="27"/>
      <c r="G201" s="28"/>
      <c r="H201" s="29"/>
      <c r="I201" s="28"/>
      <c r="J201" s="30"/>
      <c r="K201" s="26"/>
    </row>
    <row r="202" ht="24.95" customHeight="1" spans="1:11">
      <c r="A202" s="24"/>
      <c r="B202" s="25"/>
      <c r="C202" s="25"/>
      <c r="D202" s="26"/>
      <c r="E202" s="27"/>
      <c r="F202" s="27"/>
      <c r="G202" s="28"/>
      <c r="H202" s="29"/>
      <c r="I202" s="28"/>
      <c r="J202" s="30"/>
      <c r="K202" s="26"/>
    </row>
    <row r="203" ht="24.95" customHeight="1" spans="1:11">
      <c r="A203" s="24"/>
      <c r="B203" s="25"/>
      <c r="C203" s="25"/>
      <c r="D203" s="26"/>
      <c r="E203" s="27"/>
      <c r="F203" s="27"/>
      <c r="G203" s="28"/>
      <c r="H203" s="29"/>
      <c r="I203" s="28"/>
      <c r="J203" s="30"/>
      <c r="K203" s="26"/>
    </row>
    <row r="204" ht="24.95" customHeight="1" spans="1:11">
      <c r="A204" s="24"/>
      <c r="B204" s="25"/>
      <c r="C204" s="25"/>
      <c r="D204" s="26"/>
      <c r="E204" s="27"/>
      <c r="F204" s="27"/>
      <c r="G204" s="28"/>
      <c r="H204" s="29"/>
      <c r="I204" s="28"/>
      <c r="J204" s="30"/>
      <c r="K204" s="26"/>
    </row>
    <row r="205" ht="24.95" customHeight="1" spans="1:11">
      <c r="A205" s="24"/>
      <c r="B205" s="25"/>
      <c r="C205" s="25"/>
      <c r="D205" s="26"/>
      <c r="E205" s="27"/>
      <c r="F205" s="27"/>
      <c r="G205" s="28"/>
      <c r="H205" s="29"/>
      <c r="I205" s="28"/>
      <c r="J205" s="30"/>
      <c r="K205" s="26"/>
    </row>
    <row r="206" ht="24.95" customHeight="1" spans="1:11">
      <c r="A206" s="24"/>
      <c r="B206" s="25"/>
      <c r="C206" s="25"/>
      <c r="D206" s="26"/>
      <c r="E206" s="27"/>
      <c r="F206" s="27"/>
      <c r="G206" s="28"/>
      <c r="H206" s="29"/>
      <c r="I206" s="28"/>
      <c r="J206" s="30"/>
      <c r="K206" s="26"/>
    </row>
    <row r="207" ht="24.95" customHeight="1" spans="1:11">
      <c r="A207" s="24"/>
      <c r="B207" s="25"/>
      <c r="C207" s="25"/>
      <c r="D207" s="26"/>
      <c r="E207" s="27"/>
      <c r="F207" s="27"/>
      <c r="G207" s="28"/>
      <c r="H207" s="29"/>
      <c r="I207" s="28"/>
      <c r="J207" s="30"/>
      <c r="K207" s="26"/>
    </row>
    <row r="208" ht="24.95" customHeight="1" spans="1:11">
      <c r="A208" s="24"/>
      <c r="B208" s="25"/>
      <c r="C208" s="25"/>
      <c r="D208" s="26"/>
      <c r="E208" s="27"/>
      <c r="F208" s="27"/>
      <c r="G208" s="28"/>
      <c r="H208" s="29"/>
      <c r="I208" s="28"/>
      <c r="J208" s="30"/>
      <c r="K208" s="26"/>
    </row>
    <row r="209" ht="24.95" customHeight="1" spans="1:11">
      <c r="A209" s="24"/>
      <c r="B209" s="25"/>
      <c r="C209" s="25"/>
      <c r="D209" s="26"/>
      <c r="E209" s="27"/>
      <c r="F209" s="27"/>
      <c r="G209" s="28"/>
      <c r="H209" s="29"/>
      <c r="I209" s="28"/>
      <c r="J209" s="30"/>
      <c r="K209" s="26"/>
    </row>
    <row r="210" ht="24.95" customHeight="1" spans="1:11">
      <c r="A210" s="24"/>
      <c r="B210" s="25"/>
      <c r="C210" s="25"/>
      <c r="D210" s="26"/>
      <c r="E210" s="27"/>
      <c r="F210" s="27"/>
      <c r="G210" s="28"/>
      <c r="H210" s="29"/>
      <c r="I210" s="28"/>
      <c r="J210" s="30"/>
      <c r="K210" s="26"/>
    </row>
    <row r="211" ht="24.95" customHeight="1" spans="1:11">
      <c r="A211" s="24"/>
      <c r="B211" s="25"/>
      <c r="C211" s="25"/>
      <c r="D211" s="26"/>
      <c r="E211" s="27"/>
      <c r="F211" s="27"/>
      <c r="G211" s="28"/>
      <c r="H211" s="29"/>
      <c r="I211" s="28"/>
      <c r="J211" s="30"/>
      <c r="K211" s="26"/>
    </row>
    <row r="212" ht="24.95" customHeight="1" spans="1:11">
      <c r="A212" s="24"/>
      <c r="B212" s="25"/>
      <c r="C212" s="25"/>
      <c r="D212" s="26"/>
      <c r="E212" s="27"/>
      <c r="F212" s="27"/>
      <c r="G212" s="28"/>
      <c r="H212" s="29"/>
      <c r="I212" s="28"/>
      <c r="J212" s="30"/>
      <c r="K212" s="26"/>
    </row>
    <row r="213" ht="24.95" customHeight="1" spans="1:11">
      <c r="A213" s="24"/>
      <c r="B213" s="25"/>
      <c r="C213" s="25"/>
      <c r="D213" s="26"/>
      <c r="E213" s="27"/>
      <c r="F213" s="27"/>
      <c r="G213" s="28"/>
      <c r="H213" s="29"/>
      <c r="I213" s="28"/>
      <c r="J213" s="30"/>
      <c r="K213" s="26"/>
    </row>
    <row r="214" ht="24.95" customHeight="1" spans="1:11">
      <c r="A214" s="24"/>
      <c r="B214" s="25"/>
      <c r="C214" s="25"/>
      <c r="D214" s="26"/>
      <c r="E214" s="27"/>
      <c r="F214" s="27"/>
      <c r="G214" s="28"/>
      <c r="H214" s="29"/>
      <c r="I214" s="28"/>
      <c r="J214" s="30"/>
      <c r="K214" s="26"/>
    </row>
    <row r="215" ht="24.95" customHeight="1" spans="1:11">
      <c r="A215" s="24"/>
      <c r="B215" s="25"/>
      <c r="C215" s="25"/>
      <c r="D215" s="26"/>
      <c r="E215" s="27"/>
      <c r="F215" s="27"/>
      <c r="G215" s="28"/>
      <c r="H215" s="29"/>
      <c r="I215" s="28"/>
      <c r="J215" s="30"/>
      <c r="K215" s="26"/>
    </row>
    <row r="216" ht="24.95" customHeight="1" spans="1:11">
      <c r="A216" s="24"/>
      <c r="B216" s="25"/>
      <c r="C216" s="25"/>
      <c r="D216" s="26"/>
      <c r="E216" s="27"/>
      <c r="F216" s="27"/>
      <c r="G216" s="28"/>
      <c r="H216" s="29"/>
      <c r="I216" s="28"/>
      <c r="J216" s="30"/>
      <c r="K216" s="26"/>
    </row>
    <row r="217" ht="24.95" customHeight="1" spans="1:11">
      <c r="A217" s="24"/>
      <c r="B217" s="25"/>
      <c r="C217" s="25"/>
      <c r="D217" s="26"/>
      <c r="E217" s="27"/>
      <c r="F217" s="27"/>
      <c r="G217" s="28"/>
      <c r="H217" s="29"/>
      <c r="I217" s="28"/>
      <c r="J217" s="30"/>
      <c r="K217" s="26"/>
    </row>
    <row r="218" ht="24.95" customHeight="1" spans="1:11">
      <c r="A218" s="24"/>
      <c r="B218" s="25"/>
      <c r="C218" s="25"/>
      <c r="D218" s="26"/>
      <c r="E218" s="27"/>
      <c r="F218" s="27"/>
      <c r="G218" s="28"/>
      <c r="H218" s="29"/>
      <c r="I218" s="28"/>
      <c r="J218" s="30"/>
      <c r="K218" s="26"/>
    </row>
    <row r="219" ht="24.95" customHeight="1" spans="1:11">
      <c r="A219" s="24"/>
      <c r="B219" s="25"/>
      <c r="C219" s="25"/>
      <c r="D219" s="26"/>
      <c r="E219" s="27"/>
      <c r="F219" s="27"/>
      <c r="G219" s="28"/>
      <c r="H219" s="29"/>
      <c r="I219" s="28"/>
      <c r="J219" s="30"/>
      <c r="K219" s="26"/>
    </row>
    <row r="220" ht="24.95" customHeight="1" spans="1:11">
      <c r="A220" s="24"/>
      <c r="B220" s="25"/>
      <c r="C220" s="25"/>
      <c r="D220" s="26"/>
      <c r="E220" s="27"/>
      <c r="F220" s="27"/>
      <c r="G220" s="28"/>
      <c r="H220" s="29"/>
      <c r="I220" s="28"/>
      <c r="J220" s="30"/>
      <c r="K220" s="26"/>
    </row>
    <row r="221" ht="24.95" customHeight="1" spans="1:11">
      <c r="A221" s="24"/>
      <c r="B221" s="25"/>
      <c r="C221" s="25"/>
      <c r="D221" s="26"/>
      <c r="E221" s="27"/>
      <c r="F221" s="27"/>
      <c r="G221" s="28"/>
      <c r="H221" s="29"/>
      <c r="I221" s="28"/>
      <c r="J221" s="30"/>
      <c r="K221" s="26"/>
    </row>
    <row r="222" ht="24.95" customHeight="1" spans="1:11">
      <c r="A222" s="24"/>
      <c r="B222" s="25"/>
      <c r="C222" s="25"/>
      <c r="D222" s="26"/>
      <c r="E222" s="27"/>
      <c r="F222" s="27"/>
      <c r="G222" s="28"/>
      <c r="H222" s="29"/>
      <c r="I222" s="28"/>
      <c r="J222" s="30"/>
      <c r="K222" s="26"/>
    </row>
    <row r="223" ht="24.95" customHeight="1" spans="1:11">
      <c r="A223" s="24"/>
      <c r="B223" s="25"/>
      <c r="C223" s="25"/>
      <c r="D223" s="26"/>
      <c r="E223" s="27"/>
      <c r="F223" s="27"/>
      <c r="G223" s="28"/>
      <c r="H223" s="29"/>
      <c r="I223" s="28"/>
      <c r="J223" s="30"/>
      <c r="K223" s="26"/>
    </row>
    <row r="224" ht="24.95" customHeight="1" spans="1:11">
      <c r="A224" s="24"/>
      <c r="B224" s="25"/>
      <c r="C224" s="25"/>
      <c r="D224" s="26"/>
      <c r="E224" s="27"/>
      <c r="F224" s="27"/>
      <c r="G224" s="28"/>
      <c r="H224" s="29"/>
      <c r="I224" s="28"/>
      <c r="J224" s="30"/>
      <c r="K224" s="26"/>
    </row>
    <row r="225" ht="24.95" customHeight="1" spans="1:11">
      <c r="A225" s="24"/>
      <c r="B225" s="25"/>
      <c r="C225" s="25"/>
      <c r="D225" s="26"/>
      <c r="E225" s="27"/>
      <c r="F225" s="27"/>
      <c r="G225" s="28"/>
      <c r="H225" s="29"/>
      <c r="I225" s="28"/>
      <c r="J225" s="30"/>
      <c r="K225" s="26"/>
    </row>
    <row r="226" ht="24.95" customHeight="1" spans="1:11">
      <c r="A226" s="24"/>
      <c r="B226" s="25"/>
      <c r="C226" s="25"/>
      <c r="D226" s="26"/>
      <c r="E226" s="27"/>
      <c r="F226" s="27"/>
      <c r="G226" s="28"/>
      <c r="H226" s="29"/>
      <c r="I226" s="28"/>
      <c r="J226" s="30"/>
      <c r="K226" s="26"/>
    </row>
    <row r="227" ht="24.95" customHeight="1" spans="1:11">
      <c r="A227" s="24"/>
      <c r="B227" s="25"/>
      <c r="C227" s="25"/>
      <c r="D227" s="26"/>
      <c r="E227" s="27"/>
      <c r="F227" s="27"/>
      <c r="G227" s="28"/>
      <c r="H227" s="29"/>
      <c r="I227" s="28"/>
      <c r="J227" s="30"/>
      <c r="K227" s="26"/>
    </row>
    <row r="228" ht="24.95" customHeight="1" spans="1:11">
      <c r="A228" s="24"/>
      <c r="B228" s="25"/>
      <c r="C228" s="25"/>
      <c r="D228" s="26"/>
      <c r="E228" s="27"/>
      <c r="F228" s="27"/>
      <c r="G228" s="28"/>
      <c r="H228" s="29"/>
      <c r="I228" s="28"/>
      <c r="J228" s="30"/>
      <c r="K228" s="26"/>
    </row>
    <row r="229" ht="24.95" customHeight="1" spans="1:11">
      <c r="A229" s="24"/>
      <c r="B229" s="25"/>
      <c r="C229" s="25"/>
      <c r="D229" s="26"/>
      <c r="E229" s="27"/>
      <c r="F229" s="27"/>
      <c r="G229" s="28"/>
      <c r="H229" s="29"/>
      <c r="I229" s="28"/>
      <c r="J229" s="30"/>
      <c r="K229" s="26"/>
    </row>
    <row r="230" ht="24.95" customHeight="1" spans="1:11">
      <c r="A230" s="24"/>
      <c r="B230" s="25"/>
      <c r="C230" s="25"/>
      <c r="D230" s="26"/>
      <c r="E230" s="27"/>
      <c r="F230" s="27"/>
      <c r="G230" s="28"/>
      <c r="H230" s="29"/>
      <c r="I230" s="28"/>
      <c r="J230" s="30"/>
      <c r="K230" s="26"/>
    </row>
    <row r="231" ht="24.95" customHeight="1" spans="1:11">
      <c r="A231" s="24"/>
      <c r="B231" s="25"/>
      <c r="C231" s="25"/>
      <c r="D231" s="26"/>
      <c r="E231" s="27"/>
      <c r="F231" s="27"/>
      <c r="G231" s="28"/>
      <c r="H231" s="29"/>
      <c r="I231" s="28"/>
      <c r="J231" s="30"/>
      <c r="K231" s="26"/>
    </row>
    <row r="232" ht="24.95" customHeight="1" spans="1:11">
      <c r="A232" s="24"/>
      <c r="B232" s="25"/>
      <c r="C232" s="25"/>
      <c r="D232" s="26"/>
      <c r="E232" s="27"/>
      <c r="F232" s="27"/>
      <c r="G232" s="28"/>
      <c r="H232" s="29"/>
      <c r="I232" s="28"/>
      <c r="J232" s="30"/>
      <c r="K232" s="26"/>
    </row>
    <row r="233" ht="24.95" customHeight="1" spans="1:11">
      <c r="A233" s="24"/>
      <c r="B233" s="25"/>
      <c r="C233" s="25"/>
      <c r="D233" s="26"/>
      <c r="E233" s="27"/>
      <c r="F233" s="27"/>
      <c r="G233" s="28"/>
      <c r="H233" s="29"/>
      <c r="I233" s="28"/>
      <c r="J233" s="30"/>
      <c r="K233" s="26"/>
    </row>
    <row r="234" ht="24.95" customHeight="1" spans="1:11">
      <c r="A234" s="24"/>
      <c r="B234" s="25"/>
      <c r="C234" s="25"/>
      <c r="D234" s="26"/>
      <c r="E234" s="27"/>
      <c r="F234" s="27"/>
      <c r="G234" s="28"/>
      <c r="H234" s="29"/>
      <c r="I234" s="28"/>
      <c r="J234" s="30"/>
      <c r="K234" s="26"/>
    </row>
    <row r="235" ht="24.95" customHeight="1" spans="1:11">
      <c r="A235" s="24"/>
      <c r="B235" s="25"/>
      <c r="C235" s="25"/>
      <c r="D235" s="26"/>
      <c r="E235" s="27"/>
      <c r="F235" s="27"/>
      <c r="G235" s="28"/>
      <c r="H235" s="29"/>
      <c r="I235" s="28"/>
      <c r="J235" s="30"/>
      <c r="K235" s="26"/>
    </row>
    <row r="236" ht="24.95" customHeight="1" spans="1:11">
      <c r="A236" s="24"/>
      <c r="B236" s="25"/>
      <c r="C236" s="25"/>
      <c r="D236" s="26"/>
      <c r="E236" s="27"/>
      <c r="F236" s="27"/>
      <c r="G236" s="28"/>
      <c r="H236" s="29"/>
      <c r="I236" s="28"/>
      <c r="J236" s="30"/>
      <c r="K236" s="26"/>
    </row>
    <row r="237" ht="24.95" customHeight="1"/>
    <row r="238" ht="24.95" customHeight="1"/>
  </sheetData>
  <autoFilter xmlns:etc="http://www.wps.cn/officeDocument/2017/etCustomData" ref="A4:K88" etc:filterBottomFollowUsedRange="0">
    <extLst/>
  </autoFilter>
  <mergeCells count="9">
    <mergeCell ref="A1:L1"/>
    <mergeCell ref="A3:L3"/>
    <mergeCell ref="A5:L5"/>
    <mergeCell ref="A20:L20"/>
    <mergeCell ref="A37:L37"/>
    <mergeCell ref="A53:L53"/>
    <mergeCell ref="A61:L61"/>
    <mergeCell ref="A74:L74"/>
    <mergeCell ref="A84:L84"/>
  </mergeCells>
  <conditionalFormatting sqref="D12">
    <cfRule type="cellIs" dxfId="0" priority="196" stopIfTrue="1" operator="equal">
      <formula>"其他"</formula>
    </cfRule>
    <cfRule type="cellIs" dxfId="1" priority="195" stopIfTrue="1" operator="equal">
      <formula>"购物"</formula>
    </cfRule>
    <cfRule type="cellIs" dxfId="2" priority="194" stopIfTrue="1" operator="equal">
      <formula>"日常"</formula>
    </cfRule>
    <cfRule type="cellIs" dxfId="3" priority="193" stopIfTrue="1" operator="equal">
      <formula>"餐饮"</formula>
    </cfRule>
    <cfRule type="cellIs" dxfId="4" priority="192" stopIfTrue="1" operator="equal">
      <formula>"游览"</formula>
    </cfRule>
    <cfRule type="cellIs" dxfId="5" priority="191" stopIfTrue="1" operator="equal">
      <formula>"住宿"</formula>
    </cfRule>
    <cfRule type="cellIs" dxfId="6" priority="190" stopIfTrue="1" operator="equal">
      <formula>"交通"</formula>
    </cfRule>
  </conditionalFormatting>
  <conditionalFormatting sqref="K12">
    <cfRule type="cellIs" dxfId="2" priority="203" stopIfTrue="1" operator="equal">
      <formula>"已取消"</formula>
    </cfRule>
    <cfRule type="cellIs" dxfId="7" priority="202" stopIfTrue="1" operator="equal">
      <formula>"无需预订"</formula>
    </cfRule>
    <cfRule type="cellIs" dxfId="4" priority="201" stopIfTrue="1" operator="equal">
      <formula>"已完成"</formula>
    </cfRule>
    <cfRule type="cellIs" dxfId="4" priority="200" stopIfTrue="1" operator="equal">
      <formula>"已预约"</formula>
    </cfRule>
    <cfRule type="cellIs" dxfId="4" priority="199" stopIfTrue="1" operator="equal">
      <formula>"已购买"</formula>
    </cfRule>
    <cfRule type="cellIs" dxfId="8" priority="198" stopIfTrue="1" operator="equal">
      <formula>"待预约"</formula>
    </cfRule>
    <cfRule type="cellIs" dxfId="8" priority="197" stopIfTrue="1" operator="equal">
      <formula>"待购买"</formula>
    </cfRule>
  </conditionalFormatting>
  <conditionalFormatting sqref="D29">
    <cfRule type="cellIs" dxfId="6" priority="169" stopIfTrue="1" operator="equal">
      <formula>"交通"</formula>
    </cfRule>
    <cfRule type="cellIs" dxfId="5" priority="170" stopIfTrue="1" operator="equal">
      <formula>"住宿"</formula>
    </cfRule>
    <cfRule type="cellIs" dxfId="4" priority="171" stopIfTrue="1" operator="equal">
      <formula>"游览"</formula>
    </cfRule>
    <cfRule type="cellIs" dxfId="3" priority="172" stopIfTrue="1" operator="equal">
      <formula>"餐饮"</formula>
    </cfRule>
    <cfRule type="cellIs" dxfId="2" priority="173" stopIfTrue="1" operator="equal">
      <formula>"日常"</formula>
    </cfRule>
    <cfRule type="cellIs" dxfId="1" priority="174" stopIfTrue="1" operator="equal">
      <formula>"购物"</formula>
    </cfRule>
    <cfRule type="cellIs" dxfId="0" priority="175" stopIfTrue="1" operator="equal">
      <formula>"其他"</formula>
    </cfRule>
  </conditionalFormatting>
  <conditionalFormatting sqref="D32">
    <cfRule type="cellIs" dxfId="6" priority="183" stopIfTrue="1" operator="equal">
      <formula>"交通"</formula>
    </cfRule>
    <cfRule type="cellIs" dxfId="5" priority="184" stopIfTrue="1" operator="equal">
      <formula>"住宿"</formula>
    </cfRule>
    <cfRule type="cellIs" dxfId="4" priority="185" stopIfTrue="1" operator="equal">
      <formula>"游览"</formula>
    </cfRule>
    <cfRule type="cellIs" dxfId="3" priority="186" stopIfTrue="1" operator="equal">
      <formula>"餐饮"</formula>
    </cfRule>
    <cfRule type="cellIs" dxfId="2" priority="187" stopIfTrue="1" operator="equal">
      <formula>"日常"</formula>
    </cfRule>
    <cfRule type="cellIs" dxfId="1" priority="188" stopIfTrue="1" operator="equal">
      <formula>"购物"</formula>
    </cfRule>
    <cfRule type="cellIs" dxfId="0" priority="189" stopIfTrue="1" operator="equal">
      <formula>"其他"</formula>
    </cfRule>
  </conditionalFormatting>
  <conditionalFormatting sqref="K32">
    <cfRule type="cellIs" dxfId="8" priority="176" stopIfTrue="1" operator="equal">
      <formula>"待购买"</formula>
    </cfRule>
    <cfRule type="cellIs" dxfId="8" priority="177" stopIfTrue="1" operator="equal">
      <formula>"待预约"</formula>
    </cfRule>
    <cfRule type="cellIs" dxfId="4" priority="178" stopIfTrue="1" operator="equal">
      <formula>"已购买"</formula>
    </cfRule>
    <cfRule type="cellIs" dxfId="4" priority="179" stopIfTrue="1" operator="equal">
      <formula>"已预约"</formula>
    </cfRule>
    <cfRule type="cellIs" dxfId="4" priority="180" stopIfTrue="1" operator="equal">
      <formula>"已完成"</formula>
    </cfRule>
    <cfRule type="cellIs" dxfId="7" priority="181" stopIfTrue="1" operator="equal">
      <formula>"无需预订"</formula>
    </cfRule>
    <cfRule type="cellIs" dxfId="2" priority="182" stopIfTrue="1" operator="equal">
      <formula>"已取消"</formula>
    </cfRule>
  </conditionalFormatting>
  <conditionalFormatting sqref="D38">
    <cfRule type="cellIs" dxfId="0" priority="168" stopIfTrue="1" operator="equal">
      <formula>"其他"</formula>
    </cfRule>
    <cfRule type="cellIs" dxfId="1" priority="167" stopIfTrue="1" operator="equal">
      <formula>"购物"</formula>
    </cfRule>
    <cfRule type="cellIs" dxfId="2" priority="166" stopIfTrue="1" operator="equal">
      <formula>"日常"</formula>
    </cfRule>
    <cfRule type="cellIs" dxfId="3" priority="165" stopIfTrue="1" operator="equal">
      <formula>"餐饮"</formula>
    </cfRule>
    <cfRule type="cellIs" dxfId="4" priority="164" stopIfTrue="1" operator="equal">
      <formula>"游览"</formula>
    </cfRule>
    <cfRule type="cellIs" dxfId="5" priority="163" stopIfTrue="1" operator="equal">
      <formula>"住宿"</formula>
    </cfRule>
    <cfRule type="cellIs" dxfId="6" priority="162" stopIfTrue="1" operator="equal">
      <formula>"交通"</formula>
    </cfRule>
  </conditionalFormatting>
  <conditionalFormatting sqref="D55">
    <cfRule type="cellIs" dxfId="0" priority="77" stopIfTrue="1" operator="equal">
      <formula>"其他"</formula>
    </cfRule>
    <cfRule type="cellIs" dxfId="1" priority="76" stopIfTrue="1" operator="equal">
      <formula>"购物"</formula>
    </cfRule>
    <cfRule type="cellIs" dxfId="2" priority="75" stopIfTrue="1" operator="equal">
      <formula>"日常"</formula>
    </cfRule>
    <cfRule type="cellIs" dxfId="3" priority="74" stopIfTrue="1" operator="equal">
      <formula>"餐饮"</formula>
    </cfRule>
    <cfRule type="cellIs" dxfId="4" priority="73" stopIfTrue="1" operator="equal">
      <formula>"游览"</formula>
    </cfRule>
    <cfRule type="cellIs" dxfId="5" priority="72" stopIfTrue="1" operator="equal">
      <formula>"住宿"</formula>
    </cfRule>
    <cfRule type="cellIs" dxfId="6" priority="71" stopIfTrue="1" operator="equal">
      <formula>"交通"</formula>
    </cfRule>
  </conditionalFormatting>
  <conditionalFormatting sqref="K55">
    <cfRule type="cellIs" dxfId="2" priority="84" stopIfTrue="1" operator="equal">
      <formula>"已取消"</formula>
    </cfRule>
    <cfRule type="cellIs" dxfId="7" priority="83" stopIfTrue="1" operator="equal">
      <formula>"无需预订"</formula>
    </cfRule>
    <cfRule type="cellIs" dxfId="4" priority="82" stopIfTrue="1" operator="equal">
      <formula>"已完成"</formula>
    </cfRule>
    <cfRule type="cellIs" dxfId="4" priority="81" stopIfTrue="1" operator="equal">
      <formula>"已预约"</formula>
    </cfRule>
    <cfRule type="cellIs" dxfId="4" priority="80" stopIfTrue="1" operator="equal">
      <formula>"已购买"</formula>
    </cfRule>
    <cfRule type="cellIs" dxfId="8" priority="79" stopIfTrue="1" operator="equal">
      <formula>"待预约"</formula>
    </cfRule>
    <cfRule type="cellIs" dxfId="8" priority="78" stopIfTrue="1" operator="equal">
      <formula>"待购买"</formula>
    </cfRule>
  </conditionalFormatting>
  <conditionalFormatting sqref="D64">
    <cfRule type="cellIs" dxfId="6" priority="43" stopIfTrue="1" operator="equal">
      <formula>"交通"</formula>
    </cfRule>
    <cfRule type="cellIs" dxfId="5" priority="44" stopIfTrue="1" operator="equal">
      <formula>"住宿"</formula>
    </cfRule>
    <cfRule type="cellIs" dxfId="4" priority="45" stopIfTrue="1" operator="equal">
      <formula>"游览"</formula>
    </cfRule>
    <cfRule type="cellIs" dxfId="3" priority="46" stopIfTrue="1" operator="equal">
      <formula>"餐饮"</formula>
    </cfRule>
    <cfRule type="cellIs" dxfId="2" priority="47" stopIfTrue="1" operator="equal">
      <formula>"日常"</formula>
    </cfRule>
    <cfRule type="cellIs" dxfId="1" priority="48" stopIfTrue="1" operator="equal">
      <formula>"购物"</formula>
    </cfRule>
    <cfRule type="cellIs" dxfId="0" priority="49" stopIfTrue="1" operator="equal">
      <formula>"其他"</formula>
    </cfRule>
  </conditionalFormatting>
  <conditionalFormatting sqref="K64">
    <cfRule type="cellIs" dxfId="8" priority="50" stopIfTrue="1" operator="equal">
      <formula>"待购买"</formula>
    </cfRule>
    <cfRule type="cellIs" dxfId="8" priority="51" stopIfTrue="1" operator="equal">
      <formula>"待预约"</formula>
    </cfRule>
    <cfRule type="cellIs" dxfId="4" priority="52" stopIfTrue="1" operator="equal">
      <formula>"已购买"</formula>
    </cfRule>
    <cfRule type="cellIs" dxfId="4" priority="53" stopIfTrue="1" operator="equal">
      <formula>"已预约"</formula>
    </cfRule>
    <cfRule type="cellIs" dxfId="4" priority="54" stopIfTrue="1" operator="equal">
      <formula>"已完成"</formula>
    </cfRule>
    <cfRule type="cellIs" dxfId="7" priority="55" stopIfTrue="1" operator="equal">
      <formula>"无需预订"</formula>
    </cfRule>
    <cfRule type="cellIs" dxfId="2" priority="56" stopIfTrue="1" operator="equal">
      <formula>"已取消"</formula>
    </cfRule>
  </conditionalFormatting>
  <conditionalFormatting sqref="D66">
    <cfRule type="cellIs" dxfId="0" priority="7" stopIfTrue="1" operator="equal">
      <formula>"其他"</formula>
    </cfRule>
    <cfRule type="cellIs" dxfId="1" priority="6" stopIfTrue="1" operator="equal">
      <formula>"购物"</formula>
    </cfRule>
    <cfRule type="cellIs" dxfId="2" priority="5" stopIfTrue="1" operator="equal">
      <formula>"日常"</formula>
    </cfRule>
    <cfRule type="cellIs" dxfId="3" priority="4" stopIfTrue="1" operator="equal">
      <formula>"餐饮"</formula>
    </cfRule>
    <cfRule type="cellIs" dxfId="4" priority="3" stopIfTrue="1" operator="equal">
      <formula>"游览"</formula>
    </cfRule>
    <cfRule type="cellIs" dxfId="5" priority="2" stopIfTrue="1" operator="equal">
      <formula>"住宿"</formula>
    </cfRule>
    <cfRule type="cellIs" dxfId="6" priority="1" stopIfTrue="1" operator="equal">
      <formula>"交通"</formula>
    </cfRule>
  </conditionalFormatting>
  <conditionalFormatting sqref="K66">
    <cfRule type="cellIs" dxfId="2" priority="14" stopIfTrue="1" operator="equal">
      <formula>"已取消"</formula>
    </cfRule>
    <cfRule type="cellIs" dxfId="7" priority="13" stopIfTrue="1" operator="equal">
      <formula>"无需预订"</formula>
    </cfRule>
    <cfRule type="cellIs" dxfId="4" priority="12" stopIfTrue="1" operator="equal">
      <formula>"已完成"</formula>
    </cfRule>
    <cfRule type="cellIs" dxfId="4" priority="11" stopIfTrue="1" operator="equal">
      <formula>"已预约"</formula>
    </cfRule>
    <cfRule type="cellIs" dxfId="4" priority="10" stopIfTrue="1" operator="equal">
      <formula>"已购买"</formula>
    </cfRule>
    <cfRule type="cellIs" dxfId="8" priority="9" stopIfTrue="1" operator="equal">
      <formula>"待预约"</formula>
    </cfRule>
    <cfRule type="cellIs" dxfId="8" priority="8" stopIfTrue="1" operator="equal">
      <formula>"待购买"</formula>
    </cfRule>
  </conditionalFormatting>
  <conditionalFormatting sqref="D67">
    <cfRule type="cellIs" dxfId="6" priority="29" stopIfTrue="1" operator="equal">
      <formula>"交通"</formula>
    </cfRule>
    <cfRule type="cellIs" dxfId="5" priority="30" stopIfTrue="1" operator="equal">
      <formula>"住宿"</formula>
    </cfRule>
    <cfRule type="cellIs" dxfId="4" priority="31" stopIfTrue="1" operator="equal">
      <formula>"游览"</formula>
    </cfRule>
    <cfRule type="cellIs" dxfId="3" priority="32" stopIfTrue="1" operator="equal">
      <formula>"餐饮"</formula>
    </cfRule>
    <cfRule type="cellIs" dxfId="2" priority="33" stopIfTrue="1" operator="equal">
      <formula>"日常"</formula>
    </cfRule>
    <cfRule type="cellIs" dxfId="1" priority="34" stopIfTrue="1" operator="equal">
      <formula>"购物"</formula>
    </cfRule>
    <cfRule type="cellIs" dxfId="0" priority="35" stopIfTrue="1" operator="equal">
      <formula>"其他"</formula>
    </cfRule>
  </conditionalFormatting>
  <conditionalFormatting sqref="K67">
    <cfRule type="cellIs" dxfId="8" priority="36" stopIfTrue="1" operator="equal">
      <formula>"待购买"</formula>
    </cfRule>
    <cfRule type="cellIs" dxfId="8" priority="37" stopIfTrue="1" operator="equal">
      <formula>"待预约"</formula>
    </cfRule>
    <cfRule type="cellIs" dxfId="4" priority="38" stopIfTrue="1" operator="equal">
      <formula>"已购买"</formula>
    </cfRule>
    <cfRule type="cellIs" dxfId="4" priority="39" stopIfTrue="1" operator="equal">
      <formula>"已预约"</formula>
    </cfRule>
    <cfRule type="cellIs" dxfId="4" priority="40" stopIfTrue="1" operator="equal">
      <formula>"已完成"</formula>
    </cfRule>
    <cfRule type="cellIs" dxfId="7" priority="41" stopIfTrue="1" operator="equal">
      <formula>"无需预订"</formula>
    </cfRule>
    <cfRule type="cellIs" dxfId="2" priority="42" stopIfTrue="1" operator="equal">
      <formula>"已取消"</formula>
    </cfRule>
  </conditionalFormatting>
  <conditionalFormatting sqref="D68">
    <cfRule type="cellIs" dxfId="6" priority="57" stopIfTrue="1" operator="equal">
      <formula>"交通"</formula>
    </cfRule>
    <cfRule type="cellIs" dxfId="5" priority="58" stopIfTrue="1" operator="equal">
      <formula>"住宿"</formula>
    </cfRule>
    <cfRule type="cellIs" dxfId="4" priority="59" stopIfTrue="1" operator="equal">
      <formula>"游览"</formula>
    </cfRule>
    <cfRule type="cellIs" dxfId="3" priority="60" stopIfTrue="1" operator="equal">
      <formula>"餐饮"</formula>
    </cfRule>
    <cfRule type="cellIs" dxfId="2" priority="61" stopIfTrue="1" operator="equal">
      <formula>"日常"</formula>
    </cfRule>
    <cfRule type="cellIs" dxfId="1" priority="62" stopIfTrue="1" operator="equal">
      <formula>"购物"</formula>
    </cfRule>
    <cfRule type="cellIs" dxfId="0" priority="63" stopIfTrue="1" operator="equal">
      <formula>"其他"</formula>
    </cfRule>
  </conditionalFormatting>
  <conditionalFormatting sqref="K68">
    <cfRule type="cellIs" dxfId="8" priority="64" stopIfTrue="1" operator="equal">
      <formula>"待购买"</formula>
    </cfRule>
    <cfRule type="cellIs" dxfId="8" priority="65" stopIfTrue="1" operator="equal">
      <formula>"待预约"</formula>
    </cfRule>
    <cfRule type="cellIs" dxfId="4" priority="66" stopIfTrue="1" operator="equal">
      <formula>"已购买"</formula>
    </cfRule>
    <cfRule type="cellIs" dxfId="4" priority="67" stopIfTrue="1" operator="equal">
      <formula>"已预约"</formula>
    </cfRule>
    <cfRule type="cellIs" dxfId="4" priority="68" stopIfTrue="1" operator="equal">
      <formula>"已完成"</formula>
    </cfRule>
    <cfRule type="cellIs" dxfId="7" priority="69" stopIfTrue="1" operator="equal">
      <formula>"无需预订"</formula>
    </cfRule>
    <cfRule type="cellIs" dxfId="2" priority="70" stopIfTrue="1" operator="equal">
      <formula>"已取消"</formula>
    </cfRule>
  </conditionalFormatting>
  <conditionalFormatting sqref="D69">
    <cfRule type="cellIs" dxfId="6" priority="141" stopIfTrue="1" operator="equal">
      <formula>"交通"</formula>
    </cfRule>
    <cfRule type="cellIs" dxfId="5" priority="142" stopIfTrue="1" operator="equal">
      <formula>"住宿"</formula>
    </cfRule>
    <cfRule type="cellIs" dxfId="4" priority="143" stopIfTrue="1" operator="equal">
      <formula>"游览"</formula>
    </cfRule>
    <cfRule type="cellIs" dxfId="3" priority="144" stopIfTrue="1" operator="equal">
      <formula>"餐饮"</formula>
    </cfRule>
    <cfRule type="cellIs" dxfId="2" priority="145" stopIfTrue="1" operator="equal">
      <formula>"日常"</formula>
    </cfRule>
    <cfRule type="cellIs" dxfId="1" priority="146" stopIfTrue="1" operator="equal">
      <formula>"购物"</formula>
    </cfRule>
    <cfRule type="cellIs" dxfId="0" priority="147" stopIfTrue="1" operator="equal">
      <formula>"其他"</formula>
    </cfRule>
  </conditionalFormatting>
  <conditionalFormatting sqref="D73">
    <cfRule type="cellIs" dxfId="6" priority="15" stopIfTrue="1" operator="equal">
      <formula>"交通"</formula>
    </cfRule>
    <cfRule type="cellIs" dxfId="5" priority="16" stopIfTrue="1" operator="equal">
      <formula>"住宿"</formula>
    </cfRule>
    <cfRule type="cellIs" dxfId="4" priority="17" stopIfTrue="1" operator="equal">
      <formula>"游览"</formula>
    </cfRule>
    <cfRule type="cellIs" dxfId="3" priority="18" stopIfTrue="1" operator="equal">
      <formula>"餐饮"</formula>
    </cfRule>
    <cfRule type="cellIs" dxfId="2" priority="19" stopIfTrue="1" operator="equal">
      <formula>"日常"</formula>
    </cfRule>
    <cfRule type="cellIs" dxfId="1" priority="20" stopIfTrue="1" operator="equal">
      <formula>"购物"</formula>
    </cfRule>
    <cfRule type="cellIs" dxfId="0" priority="21" stopIfTrue="1" operator="equal">
      <formula>"其他"</formula>
    </cfRule>
  </conditionalFormatting>
  <conditionalFormatting sqref="K73">
    <cfRule type="cellIs" dxfId="8" priority="22" stopIfTrue="1" operator="equal">
      <formula>"待购买"</formula>
    </cfRule>
    <cfRule type="cellIs" dxfId="8" priority="23" stopIfTrue="1" operator="equal">
      <formula>"待预约"</formula>
    </cfRule>
    <cfRule type="cellIs" dxfId="4" priority="24" stopIfTrue="1" operator="equal">
      <formula>"已购买"</formula>
    </cfRule>
    <cfRule type="cellIs" dxfId="4" priority="25" stopIfTrue="1" operator="equal">
      <formula>"已预约"</formula>
    </cfRule>
    <cfRule type="cellIs" dxfId="4" priority="26" stopIfTrue="1" operator="equal">
      <formula>"已完成"</formula>
    </cfRule>
    <cfRule type="cellIs" dxfId="7" priority="27" stopIfTrue="1" operator="equal">
      <formula>"无需预订"</formula>
    </cfRule>
    <cfRule type="cellIs" dxfId="2" priority="28" stopIfTrue="1" operator="equal">
      <formula>"已取消"</formula>
    </cfRule>
  </conditionalFormatting>
  <conditionalFormatting sqref="D82">
    <cfRule type="cellIs" dxfId="6" priority="85" stopIfTrue="1" operator="equal">
      <formula>"交通"</formula>
    </cfRule>
    <cfRule type="cellIs" dxfId="5" priority="86" stopIfTrue="1" operator="equal">
      <formula>"住宿"</formula>
    </cfRule>
    <cfRule type="cellIs" dxfId="4" priority="87" stopIfTrue="1" operator="equal">
      <formula>"游览"</formula>
    </cfRule>
    <cfRule type="cellIs" dxfId="3" priority="88" stopIfTrue="1" operator="equal">
      <formula>"餐饮"</formula>
    </cfRule>
    <cfRule type="cellIs" dxfId="2" priority="89" stopIfTrue="1" operator="equal">
      <formula>"日常"</formula>
    </cfRule>
    <cfRule type="cellIs" dxfId="1" priority="90" stopIfTrue="1" operator="equal">
      <formula>"购物"</formula>
    </cfRule>
    <cfRule type="cellIs" dxfId="0" priority="91" stopIfTrue="1" operator="equal">
      <formula>"其他"</formula>
    </cfRule>
  </conditionalFormatting>
  <conditionalFormatting sqref="K82">
    <cfRule type="cellIs" dxfId="8" priority="92" stopIfTrue="1" operator="equal">
      <formula>"待购买"</formula>
    </cfRule>
    <cfRule type="cellIs" dxfId="8" priority="93" stopIfTrue="1" operator="equal">
      <formula>"待预约"</formula>
    </cfRule>
    <cfRule type="cellIs" dxfId="4" priority="94" stopIfTrue="1" operator="equal">
      <formula>"已购买"</formula>
    </cfRule>
    <cfRule type="cellIs" dxfId="4" priority="95" stopIfTrue="1" operator="equal">
      <formula>"已预约"</formula>
    </cfRule>
    <cfRule type="cellIs" dxfId="4" priority="96" stopIfTrue="1" operator="equal">
      <formula>"已完成"</formula>
    </cfRule>
    <cfRule type="cellIs" dxfId="7" priority="97" stopIfTrue="1" operator="equal">
      <formula>"无需预订"</formula>
    </cfRule>
    <cfRule type="cellIs" dxfId="2" priority="98" stopIfTrue="1" operator="equal">
      <formula>"已取消"</formula>
    </cfRule>
  </conditionalFormatting>
  <conditionalFormatting sqref="D89">
    <cfRule type="cellIs" dxfId="6" priority="127" stopIfTrue="1" operator="equal">
      <formula>"交通"</formula>
    </cfRule>
    <cfRule type="cellIs" dxfId="5" priority="128" stopIfTrue="1" operator="equal">
      <formula>"住宿"</formula>
    </cfRule>
    <cfRule type="cellIs" dxfId="4" priority="129" stopIfTrue="1" operator="equal">
      <formula>"游览"</formula>
    </cfRule>
    <cfRule type="cellIs" dxfId="3" priority="130" stopIfTrue="1" operator="equal">
      <formula>"餐饮"</formula>
    </cfRule>
    <cfRule type="cellIs" dxfId="2" priority="131" stopIfTrue="1" operator="equal">
      <formula>"日常"</formula>
    </cfRule>
    <cfRule type="cellIs" dxfId="1" priority="132" stopIfTrue="1" operator="equal">
      <formula>"购物"</formula>
    </cfRule>
    <cfRule type="cellIs" dxfId="0" priority="133" stopIfTrue="1" operator="equal">
      <formula>"其他"</formula>
    </cfRule>
  </conditionalFormatting>
  <conditionalFormatting sqref="K89">
    <cfRule type="cellIs" dxfId="8" priority="134" stopIfTrue="1" operator="equal">
      <formula>"待购买"</formula>
    </cfRule>
    <cfRule type="cellIs" dxfId="8" priority="135" stopIfTrue="1" operator="equal">
      <formula>"待预约"</formula>
    </cfRule>
    <cfRule type="cellIs" dxfId="4" priority="136" stopIfTrue="1" operator="equal">
      <formula>"已购买"</formula>
    </cfRule>
    <cfRule type="cellIs" dxfId="4" priority="137" stopIfTrue="1" operator="equal">
      <formula>"已预约"</formula>
    </cfRule>
    <cfRule type="cellIs" dxfId="4" priority="138" stopIfTrue="1" operator="equal">
      <formula>"已完成"</formula>
    </cfRule>
    <cfRule type="cellIs" dxfId="7" priority="139" stopIfTrue="1" operator="equal">
      <formula>"无需预订"</formula>
    </cfRule>
    <cfRule type="cellIs" dxfId="2" priority="140" stopIfTrue="1" operator="equal">
      <formula>"已取消"</formula>
    </cfRule>
  </conditionalFormatting>
  <conditionalFormatting sqref="D90">
    <cfRule type="cellIs" dxfId="6" priority="113" stopIfTrue="1" operator="equal">
      <formula>"交通"</formula>
    </cfRule>
    <cfRule type="cellIs" dxfId="5" priority="114" stopIfTrue="1" operator="equal">
      <formula>"住宿"</formula>
    </cfRule>
    <cfRule type="cellIs" dxfId="4" priority="115" stopIfTrue="1" operator="equal">
      <formula>"游览"</formula>
    </cfRule>
    <cfRule type="cellIs" dxfId="3" priority="116" stopIfTrue="1" operator="equal">
      <formula>"餐饮"</formula>
    </cfRule>
    <cfRule type="cellIs" dxfId="2" priority="117" stopIfTrue="1" operator="equal">
      <formula>"日常"</formula>
    </cfRule>
    <cfRule type="cellIs" dxfId="1" priority="118" stopIfTrue="1" operator="equal">
      <formula>"购物"</formula>
    </cfRule>
    <cfRule type="cellIs" dxfId="0" priority="119" stopIfTrue="1" operator="equal">
      <formula>"其他"</formula>
    </cfRule>
  </conditionalFormatting>
  <conditionalFormatting sqref="K90">
    <cfRule type="cellIs" dxfId="8" priority="120" stopIfTrue="1" operator="equal">
      <formula>"待购买"</formula>
    </cfRule>
    <cfRule type="cellIs" dxfId="8" priority="121" stopIfTrue="1" operator="equal">
      <formula>"待预约"</formula>
    </cfRule>
    <cfRule type="cellIs" dxfId="4" priority="122" stopIfTrue="1" operator="equal">
      <formula>"已购买"</formula>
    </cfRule>
    <cfRule type="cellIs" dxfId="4" priority="123" stopIfTrue="1" operator="equal">
      <formula>"已预约"</formula>
    </cfRule>
    <cfRule type="cellIs" dxfId="4" priority="124" stopIfTrue="1" operator="equal">
      <formula>"已完成"</formula>
    </cfRule>
    <cfRule type="cellIs" dxfId="7" priority="125" stopIfTrue="1" operator="equal">
      <formula>"无需预订"</formula>
    </cfRule>
    <cfRule type="cellIs" dxfId="2" priority="126" stopIfTrue="1" operator="equal">
      <formula>"已取消"</formula>
    </cfRule>
  </conditionalFormatting>
  <conditionalFormatting sqref="D39:D52">
    <cfRule type="cellIs" dxfId="6" priority="848" stopIfTrue="1" operator="equal">
      <formula>"交通"</formula>
    </cfRule>
    <cfRule type="cellIs" dxfId="5" priority="856" stopIfTrue="1" operator="equal">
      <formula>"住宿"</formula>
    </cfRule>
    <cfRule type="cellIs" dxfId="4" priority="864" stopIfTrue="1" operator="equal">
      <formula>"游览"</formula>
    </cfRule>
    <cfRule type="cellIs" dxfId="3" priority="872" stopIfTrue="1" operator="equal">
      <formula>"餐饮"</formula>
    </cfRule>
    <cfRule type="cellIs" dxfId="2" priority="880" stopIfTrue="1" operator="equal">
      <formula>"日常"</formula>
    </cfRule>
    <cfRule type="cellIs" dxfId="1" priority="888" stopIfTrue="1" operator="equal">
      <formula>"购物"</formula>
    </cfRule>
    <cfRule type="cellIs" dxfId="0" priority="896" stopIfTrue="1" operator="equal">
      <formula>"其他"</formula>
    </cfRule>
  </conditionalFormatting>
  <conditionalFormatting sqref="D85:D88">
    <cfRule type="cellIs" dxfId="6" priority="456" stopIfTrue="1" operator="equal">
      <formula>"交通"</formula>
    </cfRule>
    <cfRule type="cellIs" dxfId="5" priority="462" stopIfTrue="1" operator="equal">
      <formula>"住宿"</formula>
    </cfRule>
    <cfRule type="cellIs" dxfId="4" priority="468" stopIfTrue="1" operator="equal">
      <formula>"游览"</formula>
    </cfRule>
    <cfRule type="cellIs" dxfId="3" priority="474" stopIfTrue="1" operator="equal">
      <formula>"餐饮"</formula>
    </cfRule>
    <cfRule type="cellIs" dxfId="2" priority="480" stopIfTrue="1" operator="equal">
      <formula>"日常"</formula>
    </cfRule>
    <cfRule type="cellIs" dxfId="1" priority="486" stopIfTrue="1" operator="equal">
      <formula>"购物"</formula>
    </cfRule>
    <cfRule type="cellIs" dxfId="0" priority="492" stopIfTrue="1" operator="equal">
      <formula>"其他"</formula>
    </cfRule>
  </conditionalFormatting>
  <conditionalFormatting sqref="D91:D236">
    <cfRule type="cellIs" dxfId="9" priority="1114" operator="equal">
      <formula>"交通"</formula>
    </cfRule>
    <cfRule type="cellIs" dxfId="10" priority="1115" operator="equal">
      <formula>"住宿"</formula>
    </cfRule>
    <cfRule type="cellIs" dxfId="11" priority="1116" operator="equal">
      <formula>"游览"</formula>
    </cfRule>
    <cfRule type="cellIs" dxfId="12" priority="1117" operator="equal">
      <formula>"餐饮"</formula>
    </cfRule>
    <cfRule type="cellIs" dxfId="13" priority="1118" operator="equal">
      <formula>"日常"</formula>
    </cfRule>
    <cfRule type="cellIs" dxfId="14" priority="1119" operator="equal">
      <formula>"购物"</formula>
    </cfRule>
    <cfRule type="cellIs" dxfId="15" priority="1120" operator="equal">
      <formula>"其他"</formula>
    </cfRule>
  </conditionalFormatting>
  <conditionalFormatting sqref="K39:K52">
    <cfRule type="cellIs" dxfId="8" priority="904" stopIfTrue="1" operator="equal">
      <formula>"待购买"</formula>
    </cfRule>
    <cfRule type="cellIs" dxfId="8" priority="912" stopIfTrue="1" operator="equal">
      <formula>"待预约"</formula>
    </cfRule>
    <cfRule type="cellIs" dxfId="4" priority="920" stopIfTrue="1" operator="equal">
      <formula>"已购买"</formula>
    </cfRule>
    <cfRule type="cellIs" dxfId="4" priority="928" stopIfTrue="1" operator="equal">
      <formula>"已预约"</formula>
    </cfRule>
    <cfRule type="cellIs" dxfId="4" priority="936" stopIfTrue="1" operator="equal">
      <formula>"已完成"</formula>
    </cfRule>
    <cfRule type="cellIs" dxfId="7" priority="944" stopIfTrue="1" operator="equal">
      <formula>"无需预订"</formula>
    </cfRule>
    <cfRule type="cellIs" dxfId="2" priority="952" stopIfTrue="1" operator="equal">
      <formula>"已取消"</formula>
    </cfRule>
  </conditionalFormatting>
  <conditionalFormatting sqref="K85:K88">
    <cfRule type="cellIs" dxfId="8" priority="498" stopIfTrue="1" operator="equal">
      <formula>"待购买"</formula>
    </cfRule>
    <cfRule type="cellIs" dxfId="8" priority="504" stopIfTrue="1" operator="equal">
      <formula>"待预约"</formula>
    </cfRule>
    <cfRule type="cellIs" dxfId="4" priority="510" stopIfTrue="1" operator="equal">
      <formula>"已购买"</formula>
    </cfRule>
    <cfRule type="cellIs" dxfId="4" priority="516" stopIfTrue="1" operator="equal">
      <formula>"已预约"</formula>
    </cfRule>
    <cfRule type="cellIs" dxfId="4" priority="522" stopIfTrue="1" operator="equal">
      <formula>"已完成"</formula>
    </cfRule>
    <cfRule type="cellIs" dxfId="7" priority="528" stopIfTrue="1" operator="equal">
      <formula>"无需预订"</formula>
    </cfRule>
    <cfRule type="cellIs" dxfId="2" priority="534" stopIfTrue="1" operator="equal">
      <formula>"已取消"</formula>
    </cfRule>
  </conditionalFormatting>
  <conditionalFormatting sqref="K91:K236">
    <cfRule type="cellIs" dxfId="16" priority="1121" operator="equal">
      <formula>"待购买"</formula>
    </cfRule>
    <cfRule type="cellIs" dxfId="16" priority="1122" operator="equal">
      <formula>"待预约"</formula>
    </cfRule>
    <cfRule type="cellIs" dxfId="17" priority="1123" operator="equal">
      <formula>"已购买"</formula>
    </cfRule>
    <cfRule type="cellIs" dxfId="17" priority="1124" operator="equal">
      <formula>"已预约"</formula>
    </cfRule>
    <cfRule type="cellIs" dxfId="17" priority="1125" operator="equal">
      <formula>"已完成"</formula>
    </cfRule>
    <cfRule type="cellIs" dxfId="18" priority="1126" operator="equal">
      <formula>"无需预订"</formula>
    </cfRule>
    <cfRule type="cellIs" dxfId="19" priority="1127" operator="equal">
      <formula>"已取消"</formula>
    </cfRule>
  </conditionalFormatting>
  <conditionalFormatting sqref="S91:S93">
    <cfRule type="cellIs" dxfId="6" priority="400" stopIfTrue="1" operator="equal">
      <formula>"交通"</formula>
    </cfRule>
    <cfRule type="cellIs" dxfId="5" priority="404" stopIfTrue="1" operator="equal">
      <formula>"住宿"</formula>
    </cfRule>
    <cfRule type="cellIs" dxfId="4" priority="408" stopIfTrue="1" operator="equal">
      <formula>"游览"</formula>
    </cfRule>
    <cfRule type="cellIs" dxfId="3" priority="412" stopIfTrue="1" operator="equal">
      <formula>"餐饮"</formula>
    </cfRule>
    <cfRule type="cellIs" dxfId="2" priority="416" stopIfTrue="1" operator="equal">
      <formula>"日常"</formula>
    </cfRule>
    <cfRule type="cellIs" dxfId="1" priority="420" stopIfTrue="1" operator="equal">
      <formula>"购物"</formula>
    </cfRule>
    <cfRule type="cellIs" dxfId="0" priority="424" stopIfTrue="1" operator="equal">
      <formula>"其他"</formula>
    </cfRule>
  </conditionalFormatting>
  <conditionalFormatting sqref="Z91:Z93">
    <cfRule type="cellIs" dxfId="8" priority="428" stopIfTrue="1" operator="equal">
      <formula>"待购买"</formula>
    </cfRule>
    <cfRule type="cellIs" dxfId="8" priority="432" stopIfTrue="1" operator="equal">
      <formula>"待预约"</formula>
    </cfRule>
    <cfRule type="cellIs" dxfId="4" priority="436" stopIfTrue="1" operator="equal">
      <formula>"已购买"</formula>
    </cfRule>
    <cfRule type="cellIs" dxfId="4" priority="440" stopIfTrue="1" operator="equal">
      <formula>"已预约"</formula>
    </cfRule>
    <cfRule type="cellIs" dxfId="4" priority="444" stopIfTrue="1" operator="equal">
      <formula>"已完成"</formula>
    </cfRule>
    <cfRule type="cellIs" dxfId="7" priority="448" stopIfTrue="1" operator="equal">
      <formula>"无需预订"</formula>
    </cfRule>
    <cfRule type="cellIs" dxfId="2" priority="452" stopIfTrue="1" operator="equal">
      <formula>"已取消"</formula>
    </cfRule>
  </conditionalFormatting>
  <conditionalFormatting sqref="D6:D11 D13:D19">
    <cfRule type="cellIs" dxfId="6" priority="233" stopIfTrue="1" operator="equal">
      <formula>"交通"</formula>
    </cfRule>
    <cfRule type="cellIs" dxfId="5" priority="237" stopIfTrue="1" operator="equal">
      <formula>"住宿"</formula>
    </cfRule>
    <cfRule type="cellIs" dxfId="4" priority="241" stopIfTrue="1" operator="equal">
      <formula>"游览"</formula>
    </cfRule>
    <cfRule type="cellIs" dxfId="3" priority="245" stopIfTrue="1" operator="equal">
      <formula>"餐饮"</formula>
    </cfRule>
    <cfRule type="cellIs" dxfId="2" priority="249" stopIfTrue="1" operator="equal">
      <formula>"日常"</formula>
    </cfRule>
    <cfRule type="cellIs" dxfId="1" priority="253" stopIfTrue="1" operator="equal">
      <formula>"购物"</formula>
    </cfRule>
    <cfRule type="cellIs" dxfId="0" priority="257" stopIfTrue="1" operator="equal">
      <formula>"其他"</formula>
    </cfRule>
  </conditionalFormatting>
  <conditionalFormatting sqref="K6:K11 K13:K19">
    <cfRule type="cellIs" dxfId="8" priority="309" stopIfTrue="1" operator="equal">
      <formula>"待购买"</formula>
    </cfRule>
    <cfRule type="cellIs" dxfId="8" priority="310" stopIfTrue="1" operator="equal">
      <formula>"待预约"</formula>
    </cfRule>
    <cfRule type="cellIs" dxfId="4" priority="311" stopIfTrue="1" operator="equal">
      <formula>"已购买"</formula>
    </cfRule>
    <cfRule type="cellIs" dxfId="4" priority="312" stopIfTrue="1" operator="equal">
      <formula>"已预约"</formula>
    </cfRule>
    <cfRule type="cellIs" dxfId="4" priority="313" stopIfTrue="1" operator="equal">
      <formula>"已完成"</formula>
    </cfRule>
    <cfRule type="cellIs" dxfId="7" priority="314" stopIfTrue="1" operator="equal">
      <formula>"无需预订"</formula>
    </cfRule>
    <cfRule type="cellIs" dxfId="2" priority="315" stopIfTrue="1" operator="equal">
      <formula>"已取消"</formula>
    </cfRule>
  </conditionalFormatting>
  <conditionalFormatting sqref="D21:D28 D30:D31 D33:D36">
    <cfRule type="cellIs" dxfId="6" priority="211" stopIfTrue="1" operator="equal">
      <formula>"交通"</formula>
    </cfRule>
    <cfRule type="cellIs" dxfId="5" priority="212" stopIfTrue="1" operator="equal">
      <formula>"住宿"</formula>
    </cfRule>
    <cfRule type="cellIs" dxfId="4" priority="213" stopIfTrue="1" operator="equal">
      <formula>"游览"</formula>
    </cfRule>
    <cfRule type="cellIs" dxfId="3" priority="214" stopIfTrue="1" operator="equal">
      <formula>"餐饮"</formula>
    </cfRule>
    <cfRule type="cellIs" dxfId="2" priority="215" stopIfTrue="1" operator="equal">
      <formula>"日常"</formula>
    </cfRule>
    <cfRule type="cellIs" dxfId="1" priority="216" stopIfTrue="1" operator="equal">
      <formula>"购物"</formula>
    </cfRule>
    <cfRule type="cellIs" dxfId="0" priority="217" stopIfTrue="1" operator="equal">
      <formula>"其他"</formula>
    </cfRule>
  </conditionalFormatting>
  <conditionalFormatting sqref="K21:K31 K33:K36">
    <cfRule type="cellIs" dxfId="8" priority="204" stopIfTrue="1" operator="equal">
      <formula>"待购买"</formula>
    </cfRule>
    <cfRule type="cellIs" dxfId="8" priority="205" stopIfTrue="1" operator="equal">
      <formula>"待预约"</formula>
    </cfRule>
    <cfRule type="cellIs" dxfId="4" priority="206" stopIfTrue="1" operator="equal">
      <formula>"已购买"</formula>
    </cfRule>
    <cfRule type="cellIs" dxfId="4" priority="207" stopIfTrue="1" operator="equal">
      <formula>"已预约"</formula>
    </cfRule>
    <cfRule type="cellIs" dxfId="4" priority="208" stopIfTrue="1" operator="equal">
      <formula>"已完成"</formula>
    </cfRule>
    <cfRule type="cellIs" dxfId="7" priority="209" stopIfTrue="1" operator="equal">
      <formula>"无需预订"</formula>
    </cfRule>
    <cfRule type="cellIs" dxfId="2" priority="210" stopIfTrue="1" operator="equal">
      <formula>"已取消"</formula>
    </cfRule>
  </conditionalFormatting>
  <conditionalFormatting sqref="K38 K40 K42 K44">
    <cfRule type="cellIs" dxfId="2" priority="161" stopIfTrue="1" operator="equal">
      <formula>"已取消"</formula>
    </cfRule>
    <cfRule type="cellIs" dxfId="7" priority="160" stopIfTrue="1" operator="equal">
      <formula>"无需预订"</formula>
    </cfRule>
    <cfRule type="cellIs" dxfId="4" priority="159" stopIfTrue="1" operator="equal">
      <formula>"已完成"</formula>
    </cfRule>
    <cfRule type="cellIs" dxfId="4" priority="158" stopIfTrue="1" operator="equal">
      <formula>"已预约"</formula>
    </cfRule>
    <cfRule type="cellIs" dxfId="4" priority="157" stopIfTrue="1" operator="equal">
      <formula>"已购买"</formula>
    </cfRule>
    <cfRule type="cellIs" dxfId="8" priority="156" stopIfTrue="1" operator="equal">
      <formula>"待预约"</formula>
    </cfRule>
    <cfRule type="cellIs" dxfId="8" priority="155" stopIfTrue="1" operator="equal">
      <formula>"待购买"</formula>
    </cfRule>
  </conditionalFormatting>
  <conditionalFormatting sqref="D54 D56:D60">
    <cfRule type="cellIs" dxfId="6" priority="764" stopIfTrue="1" operator="equal">
      <formula>"交通"</formula>
    </cfRule>
    <cfRule type="cellIs" dxfId="5" priority="770" stopIfTrue="1" operator="equal">
      <formula>"住宿"</formula>
    </cfRule>
    <cfRule type="cellIs" dxfId="4" priority="776" stopIfTrue="1" operator="equal">
      <formula>"游览"</formula>
    </cfRule>
    <cfRule type="cellIs" dxfId="3" priority="782" stopIfTrue="1" operator="equal">
      <formula>"餐饮"</formula>
    </cfRule>
    <cfRule type="cellIs" dxfId="2" priority="788" stopIfTrue="1" operator="equal">
      <formula>"日常"</formula>
    </cfRule>
    <cfRule type="cellIs" dxfId="1" priority="794" stopIfTrue="1" operator="equal">
      <formula>"购物"</formula>
    </cfRule>
    <cfRule type="cellIs" dxfId="0" priority="800" stopIfTrue="1" operator="equal">
      <formula>"其他"</formula>
    </cfRule>
  </conditionalFormatting>
  <conditionalFormatting sqref="K54 K56:K60">
    <cfRule type="cellIs" dxfId="8" priority="806" stopIfTrue="1" operator="equal">
      <formula>"待购买"</formula>
    </cfRule>
    <cfRule type="cellIs" dxfId="8" priority="812" stopIfTrue="1" operator="equal">
      <formula>"待预约"</formula>
    </cfRule>
    <cfRule type="cellIs" dxfId="4" priority="818" stopIfTrue="1" operator="equal">
      <formula>"已购买"</formula>
    </cfRule>
    <cfRule type="cellIs" dxfId="4" priority="824" stopIfTrue="1" operator="equal">
      <formula>"已预约"</formula>
    </cfRule>
    <cfRule type="cellIs" dxfId="4" priority="830" stopIfTrue="1" operator="equal">
      <formula>"已完成"</formula>
    </cfRule>
    <cfRule type="cellIs" dxfId="7" priority="836" stopIfTrue="1" operator="equal">
      <formula>"无需预订"</formula>
    </cfRule>
    <cfRule type="cellIs" dxfId="2" priority="842" stopIfTrue="1" operator="equal">
      <formula>"已取消"</formula>
    </cfRule>
  </conditionalFormatting>
  <conditionalFormatting sqref="D62:D63 D65 D70:D72">
    <cfRule type="cellIs" dxfId="6" priority="680" stopIfTrue="1" operator="equal">
      <formula>"交通"</formula>
    </cfRule>
    <cfRule type="cellIs" dxfId="5" priority="686" stopIfTrue="1" operator="equal">
      <formula>"住宿"</formula>
    </cfRule>
    <cfRule type="cellIs" dxfId="4" priority="692" stopIfTrue="1" operator="equal">
      <formula>"游览"</formula>
    </cfRule>
    <cfRule type="cellIs" dxfId="3" priority="698" stopIfTrue="1" operator="equal">
      <formula>"餐饮"</formula>
    </cfRule>
    <cfRule type="cellIs" dxfId="2" priority="704" stopIfTrue="1" operator="equal">
      <formula>"日常"</formula>
    </cfRule>
    <cfRule type="cellIs" dxfId="1" priority="710" stopIfTrue="1" operator="equal">
      <formula>"购物"</formula>
    </cfRule>
    <cfRule type="cellIs" dxfId="0" priority="716" stopIfTrue="1" operator="equal">
      <formula>"其他"</formula>
    </cfRule>
  </conditionalFormatting>
  <conditionalFormatting sqref="K62:K63 K65 K69:K72">
    <cfRule type="cellIs" dxfId="8" priority="722" stopIfTrue="1" operator="equal">
      <formula>"待购买"</formula>
    </cfRule>
    <cfRule type="cellIs" dxfId="8" priority="728" stopIfTrue="1" operator="equal">
      <formula>"待预约"</formula>
    </cfRule>
    <cfRule type="cellIs" dxfId="4" priority="734" stopIfTrue="1" operator="equal">
      <formula>"已购买"</formula>
    </cfRule>
    <cfRule type="cellIs" dxfId="4" priority="740" stopIfTrue="1" operator="equal">
      <formula>"已预约"</formula>
    </cfRule>
    <cfRule type="cellIs" dxfId="4" priority="746" stopIfTrue="1" operator="equal">
      <formula>"已完成"</formula>
    </cfRule>
    <cfRule type="cellIs" dxfId="7" priority="752" stopIfTrue="1" operator="equal">
      <formula>"无需预订"</formula>
    </cfRule>
    <cfRule type="cellIs" dxfId="2" priority="758" stopIfTrue="1" operator="equal">
      <formula>"已取消"</formula>
    </cfRule>
  </conditionalFormatting>
  <conditionalFormatting sqref="D75:D81 D83">
    <cfRule type="cellIs" dxfId="6" priority="540" stopIfTrue="1" operator="equal">
      <formula>"交通"</formula>
    </cfRule>
    <cfRule type="cellIs" dxfId="5" priority="550" stopIfTrue="1" operator="equal">
      <formula>"住宿"</formula>
    </cfRule>
    <cfRule type="cellIs" dxfId="4" priority="560" stopIfTrue="1" operator="equal">
      <formula>"游览"</formula>
    </cfRule>
    <cfRule type="cellIs" dxfId="3" priority="570" stopIfTrue="1" operator="equal">
      <formula>"餐饮"</formula>
    </cfRule>
    <cfRule type="cellIs" dxfId="2" priority="580" stopIfTrue="1" operator="equal">
      <formula>"日常"</formula>
    </cfRule>
    <cfRule type="cellIs" dxfId="1" priority="590" stopIfTrue="1" operator="equal">
      <formula>"购物"</formula>
    </cfRule>
    <cfRule type="cellIs" dxfId="0" priority="600" stopIfTrue="1" operator="equal">
      <formula>"其他"</formula>
    </cfRule>
  </conditionalFormatting>
  <conditionalFormatting sqref="K75:K81 K83">
    <cfRule type="cellIs" dxfId="8" priority="610" stopIfTrue="1" operator="equal">
      <formula>"待购买"</formula>
    </cfRule>
    <cfRule type="cellIs" dxfId="8" priority="620" stopIfTrue="1" operator="equal">
      <formula>"待预约"</formula>
    </cfRule>
    <cfRule type="cellIs" dxfId="4" priority="630" stopIfTrue="1" operator="equal">
      <formula>"已购买"</formula>
    </cfRule>
    <cfRule type="cellIs" dxfId="4" priority="640" stopIfTrue="1" operator="equal">
      <formula>"已预约"</formula>
    </cfRule>
    <cfRule type="cellIs" dxfId="4" priority="650" stopIfTrue="1" operator="equal">
      <formula>"已完成"</formula>
    </cfRule>
    <cfRule type="cellIs" dxfId="7" priority="660" stopIfTrue="1" operator="equal">
      <formula>"无需预订"</formula>
    </cfRule>
    <cfRule type="cellIs" dxfId="2" priority="670" stopIfTrue="1" operator="equal">
      <formula>"已取消"</formula>
    </cfRule>
  </conditionalFormatting>
  <dataValidations count="3">
    <dataValidation type="list" allowBlank="1" showInputMessage="1" prompt="可从列表选择 10 分钟间隔时间，也可直接输入精确时间。" sqref="B51:C51 B52:C52 B55:C55 B56:C56 B57:C57 B58:C58 B59:C59 B64:C64 B65:C65 B66:C66 B67:C67 B68:C68 B71:C71 B72:C72 B73:C73 B74:C74 B80:C80 B81:C81 B82:C82 B89:C89 B90:C90 B6:C14 B21:C50 B75:C79 B53:C54 B69:C70 B60:C63 B83:C85 B86:C88">
      <formula1>验证!$A$1:$A$108</formula1>
    </dataValidation>
    <dataValidation type="list" allowBlank="1" sqref="D51 D52 D55 D56 D57 D58 D59 D64 D65 D66 D67 D68 D71 D72 D73 D74 D80 D81 D82 D89 D90 D5:D50 D53:D54 D60:D63 D69:D70 D75:D79 D83:D85 D86:D88">
      <formula1>"交通,住宿,游览,餐饮,日常,购物,其他"</formula1>
    </dataValidation>
    <dataValidation type="list" allowBlank="1" sqref="K51 K52 K55 K56 K57 K58 K59 K64 K65 K66 K67 K68 K71 K72 K73 K74 K81 K82 K89 K90 K5:K50 K53:K54 K60:K63 K69:K70 K75:K77 K78:K80 K83:K85 K86:K88">
      <formula1>"无需预订,待购买,待预约,已购买,已预约,已完成,已取消"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6"/>
  <sheetViews>
    <sheetView workbookViewId="0">
      <selection activeCell="L11" sqref="L11"/>
    </sheetView>
  </sheetViews>
  <sheetFormatPr defaultColWidth="9" defaultRowHeight="14.25"/>
  <cols>
    <col min="1" max="1" width="6.5" customWidth="1"/>
    <col min="2" max="3" width="8" customWidth="1"/>
    <col min="4" max="4" width="16.75" customWidth="1"/>
    <col min="5" max="5" width="24.125" customWidth="1"/>
    <col min="6" max="6" width="8.875" customWidth="1"/>
    <col min="7" max="7" width="4.75" customWidth="1"/>
    <col min="8" max="8" width="8.875" customWidth="1"/>
    <col min="9" max="9" width="12.625" customWidth="1"/>
    <col min="10" max="10" width="4.75" customWidth="1"/>
    <col min="11" max="11" width="6.375" customWidth="1"/>
    <col min="12" max="12" width="13.75" customWidth="1"/>
  </cols>
  <sheetData>
    <row r="1" ht="18.75" customHeight="1" spans="1:12">
      <c r="A1" s="3" t="s">
        <v>6</v>
      </c>
      <c r="B1" s="38" t="s">
        <v>135</v>
      </c>
      <c r="C1" s="2" t="s">
        <v>136</v>
      </c>
      <c r="D1" s="3" t="s">
        <v>10</v>
      </c>
      <c r="E1" s="3" t="s">
        <v>137</v>
      </c>
      <c r="F1" s="3" t="s">
        <v>12</v>
      </c>
      <c r="G1" s="3" t="s">
        <v>13</v>
      </c>
      <c r="H1" s="3" t="s">
        <v>14</v>
      </c>
      <c r="I1" s="3" t="s">
        <v>138</v>
      </c>
      <c r="J1" s="3" t="s">
        <v>139</v>
      </c>
      <c r="K1" s="3" t="s">
        <v>140</v>
      </c>
      <c r="L1" s="39">
        <v>6564.21</v>
      </c>
    </row>
    <row r="2" ht="18" customHeight="1" spans="1:12">
      <c r="A2" s="6" t="s">
        <v>141</v>
      </c>
      <c r="K2" s="12"/>
      <c r="L2" s="12"/>
    </row>
    <row r="3" spans="1:12">
      <c r="A3" s="10">
        <v>46114</v>
      </c>
      <c r="B3" s="8">
        <v>0.770833333333333</v>
      </c>
      <c r="C3" s="8">
        <v>0.791666666666667</v>
      </c>
      <c r="D3" s="7" t="s">
        <v>23</v>
      </c>
      <c r="E3" s="7" t="s">
        <v>142</v>
      </c>
      <c r="F3" s="9"/>
      <c r="G3" s="7">
        <v>1</v>
      </c>
      <c r="H3" s="9"/>
      <c r="I3" s="40"/>
      <c r="J3" s="7" t="s">
        <v>143</v>
      </c>
      <c r="K3" s="12"/>
      <c r="L3" s="12"/>
    </row>
    <row r="4" spans="1:12">
      <c r="A4" s="10">
        <v>46114</v>
      </c>
      <c r="B4" s="8">
        <v>0.811111111111111</v>
      </c>
      <c r="C4" s="8">
        <v>0.826388888888889</v>
      </c>
      <c r="D4" s="7" t="s">
        <v>26</v>
      </c>
      <c r="E4" s="7" t="s">
        <v>144</v>
      </c>
      <c r="F4" s="9">
        <v>45</v>
      </c>
      <c r="G4" s="7">
        <v>2</v>
      </c>
      <c r="H4" s="9">
        <v>90</v>
      </c>
      <c r="I4" s="40">
        <v>46100</v>
      </c>
      <c r="J4" s="7" t="s">
        <v>145</v>
      </c>
      <c r="K4" s="12"/>
      <c r="L4" s="12"/>
    </row>
    <row r="5" spans="1:12">
      <c r="A5" s="10">
        <v>46114</v>
      </c>
      <c r="B5" s="8">
        <v>0.875</v>
      </c>
      <c r="C5" s="8">
        <v>0.996527777777778</v>
      </c>
      <c r="D5" s="7" t="s">
        <v>30</v>
      </c>
      <c r="E5" s="7" t="s">
        <v>146</v>
      </c>
      <c r="F5" s="9">
        <v>610.95</v>
      </c>
      <c r="G5" s="7">
        <v>2</v>
      </c>
      <c r="H5" s="9">
        <v>1221.9</v>
      </c>
      <c r="I5" s="40"/>
      <c r="J5" s="7" t="s">
        <v>145</v>
      </c>
      <c r="K5" s="12"/>
      <c r="L5" s="12"/>
    </row>
    <row r="6" spans="1:12">
      <c r="A6" s="10">
        <v>46114</v>
      </c>
      <c r="B6" s="8"/>
      <c r="C6" s="8"/>
      <c r="D6" s="7"/>
      <c r="E6" s="7"/>
      <c r="F6" s="9"/>
      <c r="G6" s="7"/>
      <c r="H6" s="9">
        <v>0</v>
      </c>
      <c r="I6" s="40"/>
      <c r="J6" s="7" t="s">
        <v>143</v>
      </c>
      <c r="K6" s="12"/>
      <c r="L6" s="12"/>
    </row>
    <row r="7" spans="1:12">
      <c r="A7" s="10">
        <v>46114</v>
      </c>
      <c r="B7" s="8"/>
      <c r="C7" s="8"/>
      <c r="D7" s="7" t="s">
        <v>42</v>
      </c>
      <c r="E7" s="7" t="s">
        <v>147</v>
      </c>
      <c r="F7" s="9">
        <v>272.91</v>
      </c>
      <c r="G7" s="7">
        <v>1</v>
      </c>
      <c r="H7" s="9">
        <v>272.91</v>
      </c>
      <c r="I7" s="40"/>
      <c r="J7" s="7" t="s">
        <v>145</v>
      </c>
      <c r="K7" s="12"/>
      <c r="L7" s="12"/>
    </row>
    <row r="8" ht="18" customHeight="1" spans="1:12">
      <c r="A8" s="6" t="s">
        <v>148</v>
      </c>
      <c r="K8" s="12"/>
      <c r="L8" s="12"/>
    </row>
    <row r="9" spans="1:12">
      <c r="A9" s="10">
        <v>46115</v>
      </c>
      <c r="B9" s="8">
        <v>0.291666666666667</v>
      </c>
      <c r="C9" s="8"/>
      <c r="D9" s="7" t="s">
        <v>20</v>
      </c>
      <c r="E9" s="7"/>
      <c r="F9" s="9"/>
      <c r="G9" s="7"/>
      <c r="H9" s="9"/>
      <c r="I9" s="40"/>
      <c r="J9" s="7" t="s">
        <v>143</v>
      </c>
      <c r="K9" s="12"/>
      <c r="L9" s="12"/>
    </row>
    <row r="10" spans="1:12">
      <c r="A10" s="10">
        <v>46115</v>
      </c>
      <c r="B10" s="8">
        <v>0.333333333333333</v>
      </c>
      <c r="C10" s="8">
        <v>0.354166666666667</v>
      </c>
      <c r="D10" s="7" t="s">
        <v>23</v>
      </c>
      <c r="E10" s="7"/>
      <c r="F10" s="9"/>
      <c r="G10" s="7"/>
      <c r="H10" s="9"/>
      <c r="I10" s="40"/>
      <c r="J10" s="7" t="s">
        <v>143</v>
      </c>
      <c r="K10" s="12"/>
      <c r="L10" s="12"/>
    </row>
    <row r="11" spans="1:12">
      <c r="A11" s="10">
        <v>46115</v>
      </c>
      <c r="B11" s="8">
        <v>0.354166666666667</v>
      </c>
      <c r="C11" s="8">
        <v>0.5625</v>
      </c>
      <c r="D11" s="7" t="s">
        <v>149</v>
      </c>
      <c r="E11" s="7" t="s">
        <v>150</v>
      </c>
      <c r="F11" s="9">
        <v>55</v>
      </c>
      <c r="G11" s="7">
        <v>2</v>
      </c>
      <c r="H11" s="9">
        <v>110</v>
      </c>
      <c r="I11" s="40"/>
      <c r="J11" s="7" t="s">
        <v>145</v>
      </c>
      <c r="K11" s="12"/>
      <c r="L11" s="12"/>
    </row>
    <row r="12" spans="1:12">
      <c r="A12" s="10"/>
      <c r="B12" s="8"/>
      <c r="C12" s="8"/>
      <c r="D12" s="7" t="s">
        <v>151</v>
      </c>
      <c r="E12" s="7"/>
      <c r="F12" s="9"/>
      <c r="G12" s="7"/>
      <c r="H12" s="9"/>
      <c r="I12" s="40"/>
      <c r="J12" s="7" t="s">
        <v>143</v>
      </c>
      <c r="K12" s="12"/>
      <c r="L12" s="12"/>
    </row>
    <row r="13" spans="1:12">
      <c r="A13" s="10">
        <v>46115</v>
      </c>
      <c r="B13" s="8"/>
      <c r="C13" s="8"/>
      <c r="D13" s="7" t="s">
        <v>152</v>
      </c>
      <c r="E13" s="7"/>
      <c r="F13" s="9"/>
      <c r="G13" s="7"/>
      <c r="H13" s="9"/>
      <c r="I13" s="40"/>
      <c r="J13" s="7" t="s">
        <v>143</v>
      </c>
      <c r="K13" s="12"/>
      <c r="L13" s="12"/>
    </row>
    <row r="14" spans="1:12">
      <c r="A14" s="10">
        <v>46115</v>
      </c>
      <c r="B14" s="8">
        <v>0.604166666666667</v>
      </c>
      <c r="C14" s="8"/>
      <c r="D14" s="7" t="s">
        <v>42</v>
      </c>
      <c r="E14" s="7" t="s">
        <v>153</v>
      </c>
      <c r="F14" s="9">
        <v>862</v>
      </c>
      <c r="G14" s="7">
        <v>1</v>
      </c>
      <c r="H14" s="9">
        <v>862</v>
      </c>
      <c r="I14" s="40"/>
      <c r="J14" s="7" t="s">
        <v>145</v>
      </c>
      <c r="K14" s="12"/>
      <c r="L14" s="12"/>
    </row>
    <row r="15" spans="1:12">
      <c r="A15" s="10">
        <v>46115</v>
      </c>
      <c r="B15" s="8">
        <v>0.625</v>
      </c>
      <c r="C15" s="8">
        <v>0.708333333333333</v>
      </c>
      <c r="D15" s="7" t="s">
        <v>154</v>
      </c>
      <c r="E15" s="7" t="s">
        <v>155</v>
      </c>
      <c r="F15" s="9"/>
      <c r="G15" s="7"/>
      <c r="H15" s="9"/>
      <c r="I15" s="40">
        <v>46115.5833333333</v>
      </c>
      <c r="J15" s="7" t="s">
        <v>143</v>
      </c>
      <c r="K15" s="12"/>
      <c r="L15" s="12"/>
    </row>
    <row r="16" spans="1:12">
      <c r="A16" s="10">
        <v>46115</v>
      </c>
      <c r="B16" s="8">
        <v>0.729166666666667</v>
      </c>
      <c r="C16" s="8"/>
      <c r="D16" s="7" t="s">
        <v>156</v>
      </c>
      <c r="E16" s="7"/>
      <c r="F16" s="9"/>
      <c r="G16" s="7"/>
      <c r="H16" s="9"/>
      <c r="I16" s="40"/>
      <c r="J16" s="7" t="s">
        <v>143</v>
      </c>
      <c r="K16" s="12"/>
      <c r="L16" s="12"/>
    </row>
    <row r="17" spans="1:12">
      <c r="A17" s="10">
        <v>46115</v>
      </c>
      <c r="B17" s="8"/>
      <c r="C17" s="8"/>
      <c r="D17" s="7" t="s">
        <v>157</v>
      </c>
      <c r="E17" s="7"/>
      <c r="F17" s="9"/>
      <c r="G17" s="7"/>
      <c r="H17" s="9"/>
      <c r="I17" s="40"/>
      <c r="J17" s="7" t="s">
        <v>143</v>
      </c>
      <c r="K17" s="12"/>
      <c r="L17" s="12"/>
    </row>
    <row r="18" spans="1:12">
      <c r="A18" s="10">
        <v>46115</v>
      </c>
      <c r="B18" s="8"/>
      <c r="C18" s="8"/>
      <c r="D18" s="7" t="s">
        <v>158</v>
      </c>
      <c r="E18" s="7"/>
      <c r="F18" s="9"/>
      <c r="G18" s="7"/>
      <c r="H18" s="9"/>
      <c r="I18" s="40"/>
      <c r="J18" s="7" t="s">
        <v>143</v>
      </c>
      <c r="K18" s="12"/>
      <c r="L18" s="12"/>
    </row>
    <row r="19" spans="1:12">
      <c r="A19" s="10">
        <v>46115</v>
      </c>
      <c r="B19" s="8"/>
      <c r="C19" s="8"/>
      <c r="D19" s="7" t="s">
        <v>159</v>
      </c>
      <c r="E19" s="7"/>
      <c r="F19" s="9"/>
      <c r="G19" s="7"/>
      <c r="H19" s="9"/>
      <c r="I19" s="40"/>
      <c r="J19" s="7" t="s">
        <v>143</v>
      </c>
      <c r="K19" s="12"/>
      <c r="L19" s="12"/>
    </row>
    <row r="20" ht="18" customHeight="1" spans="1:12">
      <c r="A20" s="6" t="s">
        <v>160</v>
      </c>
      <c r="K20" s="12"/>
      <c r="L20" s="12"/>
    </row>
    <row r="21" spans="1:12">
      <c r="A21" s="10">
        <v>46116</v>
      </c>
      <c r="B21" s="8">
        <v>0.3125</v>
      </c>
      <c r="C21" s="8">
        <v>0.333333333333333</v>
      </c>
      <c r="D21" s="7" t="s">
        <v>20</v>
      </c>
      <c r="E21" s="7"/>
      <c r="F21" s="9"/>
      <c r="G21" s="7"/>
      <c r="H21" s="9"/>
      <c r="I21" s="40"/>
      <c r="J21" s="7" t="s">
        <v>143</v>
      </c>
      <c r="K21" s="12"/>
      <c r="L21" s="12"/>
    </row>
    <row r="22" spans="1:12">
      <c r="A22" s="10">
        <v>46116</v>
      </c>
      <c r="B22" s="8">
        <v>0.333333333333333</v>
      </c>
      <c r="C22" s="8">
        <v>0.354166666666667</v>
      </c>
      <c r="D22" s="7" t="s">
        <v>48</v>
      </c>
      <c r="E22" s="7" t="s">
        <v>161</v>
      </c>
      <c r="F22" s="9"/>
      <c r="G22" s="7"/>
      <c r="H22" s="9"/>
      <c r="I22" s="40"/>
      <c r="J22" s="7" t="s">
        <v>145</v>
      </c>
      <c r="K22" s="12"/>
      <c r="L22" s="12"/>
    </row>
    <row r="23" spans="1:12">
      <c r="A23" s="10">
        <v>46116</v>
      </c>
      <c r="B23" s="8"/>
      <c r="C23" s="8"/>
      <c r="D23" s="7" t="s">
        <v>162</v>
      </c>
      <c r="E23" s="7" t="s">
        <v>163</v>
      </c>
      <c r="F23" s="9"/>
      <c r="G23" s="7"/>
      <c r="H23" s="9"/>
      <c r="I23" s="40"/>
      <c r="J23" s="7" t="s">
        <v>143</v>
      </c>
      <c r="K23" s="12"/>
      <c r="L23" s="12"/>
    </row>
    <row r="24" spans="1:12">
      <c r="A24" s="10">
        <v>46116</v>
      </c>
      <c r="B24" s="8"/>
      <c r="C24" s="8"/>
      <c r="D24" s="7" t="s">
        <v>164</v>
      </c>
      <c r="E24" s="7" t="s">
        <v>165</v>
      </c>
      <c r="F24" s="9"/>
      <c r="G24" s="7"/>
      <c r="H24" s="9"/>
      <c r="I24" s="40"/>
      <c r="J24" s="7" t="s">
        <v>143</v>
      </c>
      <c r="K24" s="12"/>
      <c r="L24" s="12"/>
    </row>
    <row r="25" spans="1:12">
      <c r="A25" s="10">
        <v>46116</v>
      </c>
      <c r="B25" s="8"/>
      <c r="C25" s="8"/>
      <c r="D25" s="7" t="s">
        <v>166</v>
      </c>
      <c r="E25" s="7" t="s">
        <v>167</v>
      </c>
      <c r="F25" s="9"/>
      <c r="G25" s="7"/>
      <c r="H25" s="9"/>
      <c r="I25" s="40"/>
      <c r="J25" s="7" t="s">
        <v>143</v>
      </c>
      <c r="K25" s="12"/>
      <c r="L25" s="12"/>
    </row>
    <row r="26" spans="1:12">
      <c r="A26" s="10">
        <v>46116</v>
      </c>
      <c r="B26" s="8"/>
      <c r="C26" s="8"/>
      <c r="D26" s="7" t="s">
        <v>168</v>
      </c>
      <c r="E26" s="7"/>
      <c r="F26" s="9"/>
      <c r="G26" s="7"/>
      <c r="H26" s="9"/>
      <c r="I26" s="40"/>
      <c r="J26" s="7" t="s">
        <v>143</v>
      </c>
      <c r="K26" s="12"/>
      <c r="L26" s="12"/>
    </row>
    <row r="27" spans="1:12">
      <c r="A27" s="10">
        <v>46116</v>
      </c>
      <c r="B27" s="8"/>
      <c r="C27" s="8"/>
      <c r="D27" s="7" t="s">
        <v>67</v>
      </c>
      <c r="E27" s="7"/>
      <c r="F27" s="9"/>
      <c r="G27" s="7"/>
      <c r="H27" s="9"/>
      <c r="I27" s="40"/>
      <c r="J27" s="7" t="s">
        <v>143</v>
      </c>
      <c r="K27" s="12"/>
      <c r="L27" s="12"/>
    </row>
    <row r="28" spans="1:12">
      <c r="A28" s="10">
        <v>46116</v>
      </c>
      <c r="B28" s="8"/>
      <c r="C28" s="8"/>
      <c r="D28" s="7" t="s">
        <v>169</v>
      </c>
      <c r="E28" s="7" t="s">
        <v>170</v>
      </c>
      <c r="F28" s="9"/>
      <c r="G28" s="7"/>
      <c r="H28" s="9"/>
      <c r="I28" s="40"/>
      <c r="J28" s="7" t="s">
        <v>143</v>
      </c>
      <c r="K28" s="12"/>
      <c r="L28" s="12"/>
    </row>
    <row r="29" spans="1:12">
      <c r="A29" s="10">
        <v>46116</v>
      </c>
      <c r="B29" s="8"/>
      <c r="C29" s="8"/>
      <c r="D29" s="7"/>
      <c r="E29" s="7"/>
      <c r="F29" s="9"/>
      <c r="G29" s="7"/>
      <c r="H29" s="9"/>
      <c r="I29" s="40"/>
      <c r="J29" s="7" t="s">
        <v>143</v>
      </c>
      <c r="K29" s="12"/>
      <c r="L29" s="12"/>
    </row>
    <row r="30" spans="1:12">
      <c r="A30" s="10">
        <v>46116</v>
      </c>
      <c r="B30" s="8"/>
      <c r="C30" s="8"/>
      <c r="D30" s="7"/>
      <c r="E30" s="7"/>
      <c r="F30" s="9"/>
      <c r="G30" s="7"/>
      <c r="H30" s="9"/>
      <c r="I30" s="40"/>
      <c r="J30" s="7" t="s">
        <v>143</v>
      </c>
      <c r="K30" s="12"/>
      <c r="L30" s="12"/>
    </row>
    <row r="31" spans="1:12">
      <c r="A31" s="10">
        <v>46116</v>
      </c>
      <c r="B31" s="8"/>
      <c r="C31" s="8"/>
      <c r="D31" s="7"/>
      <c r="E31" s="7"/>
      <c r="F31" s="9"/>
      <c r="G31" s="7"/>
      <c r="H31" s="9"/>
      <c r="I31" s="40"/>
      <c r="J31" s="7" t="s">
        <v>143</v>
      </c>
      <c r="K31" s="12"/>
      <c r="L31" s="12"/>
    </row>
    <row r="32" spans="1:12">
      <c r="A32" s="10">
        <v>46116</v>
      </c>
      <c r="B32" s="8"/>
      <c r="C32" s="8"/>
      <c r="D32" s="7"/>
      <c r="E32" s="7"/>
      <c r="F32" s="9"/>
      <c r="G32" s="7"/>
      <c r="H32" s="9"/>
      <c r="I32" s="40"/>
      <c r="J32" s="7" t="s">
        <v>143</v>
      </c>
      <c r="K32" s="12"/>
      <c r="L32" s="12"/>
    </row>
    <row r="33" spans="1:12">
      <c r="A33" s="10">
        <v>46116</v>
      </c>
      <c r="B33" s="8"/>
      <c r="C33" s="8"/>
      <c r="D33" s="7"/>
      <c r="E33" s="7"/>
      <c r="F33" s="9"/>
      <c r="G33" s="7"/>
      <c r="H33" s="9"/>
      <c r="I33" s="40"/>
      <c r="J33" s="7" t="s">
        <v>143</v>
      </c>
      <c r="K33" s="12"/>
      <c r="L33" s="12"/>
    </row>
    <row r="34" spans="1:12">
      <c r="A34" s="10">
        <v>46116</v>
      </c>
      <c r="B34" s="8"/>
      <c r="C34" s="8"/>
      <c r="D34" s="7"/>
      <c r="E34" s="7"/>
      <c r="F34" s="9"/>
      <c r="G34" s="7"/>
      <c r="H34" s="9"/>
      <c r="I34" s="40"/>
      <c r="J34" s="7" t="s">
        <v>143</v>
      </c>
      <c r="K34" s="12"/>
      <c r="L34" s="12"/>
    </row>
    <row r="35" spans="1:12">
      <c r="A35" s="10">
        <v>46116</v>
      </c>
      <c r="B35" s="8"/>
      <c r="C35" s="8"/>
      <c r="D35" s="7" t="s">
        <v>26</v>
      </c>
      <c r="E35" s="7" t="s">
        <v>171</v>
      </c>
      <c r="F35" s="9"/>
      <c r="G35" s="7"/>
      <c r="H35" s="9">
        <v>0</v>
      </c>
      <c r="I35" s="40"/>
      <c r="J35" s="7" t="s">
        <v>143</v>
      </c>
      <c r="K35" s="12"/>
      <c r="L35" s="12"/>
    </row>
    <row r="36" spans="1:12">
      <c r="A36" s="10">
        <v>46116</v>
      </c>
      <c r="B36" s="8"/>
      <c r="C36" s="8"/>
      <c r="D36" s="7" t="s">
        <v>42</v>
      </c>
      <c r="E36" s="7" t="s">
        <v>172</v>
      </c>
      <c r="F36" s="9"/>
      <c r="G36" s="7">
        <v>1</v>
      </c>
      <c r="H36" s="9">
        <v>612.89</v>
      </c>
      <c r="I36" s="40"/>
      <c r="J36" s="7" t="s">
        <v>145</v>
      </c>
      <c r="K36" s="12"/>
      <c r="L36" s="12"/>
    </row>
    <row r="37" spans="1:12">
      <c r="A37" s="10">
        <v>46116</v>
      </c>
      <c r="B37" s="8"/>
      <c r="C37" s="8"/>
      <c r="D37" s="7"/>
      <c r="E37" s="7"/>
      <c r="F37" s="9"/>
      <c r="G37" s="7"/>
      <c r="H37" s="9">
        <v>0</v>
      </c>
      <c r="I37" s="40"/>
      <c r="J37" s="7" t="s">
        <v>143</v>
      </c>
      <c r="K37" s="12"/>
      <c r="L37" s="12"/>
    </row>
    <row r="38" ht="18" customHeight="1" spans="1:12">
      <c r="A38" s="6" t="s">
        <v>173</v>
      </c>
      <c r="K38" s="12"/>
      <c r="L38" s="12"/>
    </row>
    <row r="39" spans="1:12">
      <c r="A39" s="10">
        <v>46117</v>
      </c>
      <c r="B39" s="8"/>
      <c r="C39" s="8"/>
      <c r="D39" s="7"/>
      <c r="E39" s="7"/>
      <c r="F39" s="9"/>
      <c r="G39" s="7"/>
      <c r="H39" s="9">
        <v>0</v>
      </c>
      <c r="I39" s="40"/>
      <c r="J39" s="7" t="s">
        <v>143</v>
      </c>
      <c r="K39" s="12"/>
      <c r="L39" s="12"/>
    </row>
    <row r="40" spans="1:12">
      <c r="A40" s="10">
        <v>46117</v>
      </c>
      <c r="B40" s="8"/>
      <c r="C40" s="8"/>
      <c r="D40" s="7" t="s">
        <v>159</v>
      </c>
      <c r="E40" s="7" t="s">
        <v>172</v>
      </c>
      <c r="F40" s="9"/>
      <c r="G40" s="7">
        <v>1</v>
      </c>
      <c r="H40" s="9">
        <v>572.51</v>
      </c>
      <c r="I40" s="40"/>
      <c r="J40" s="7" t="s">
        <v>145</v>
      </c>
      <c r="K40" s="12"/>
      <c r="L40" s="12"/>
    </row>
    <row r="41" ht="18" customHeight="1" spans="1:12">
      <c r="A41" s="6" t="s">
        <v>174</v>
      </c>
      <c r="K41" s="12"/>
      <c r="L41" s="12"/>
    </row>
    <row r="42" spans="1:12">
      <c r="A42" s="10"/>
      <c r="B42" s="8"/>
      <c r="C42" s="8"/>
      <c r="D42" s="7"/>
      <c r="E42" s="7"/>
      <c r="F42" s="9"/>
      <c r="G42" s="7"/>
      <c r="H42" s="9">
        <v>0</v>
      </c>
      <c r="I42" s="40"/>
      <c r="J42" s="7" t="s">
        <v>143</v>
      </c>
      <c r="K42" s="12"/>
      <c r="L42" s="12"/>
    </row>
    <row r="43" spans="1:12">
      <c r="A43" s="10">
        <v>46118</v>
      </c>
      <c r="B43" s="8"/>
      <c r="C43" s="8"/>
      <c r="D43" s="7" t="s">
        <v>175</v>
      </c>
      <c r="E43" s="7"/>
      <c r="F43" s="9"/>
      <c r="G43" s="7"/>
      <c r="H43" s="9">
        <v>0</v>
      </c>
      <c r="I43" s="40"/>
      <c r="J43" s="7" t="s">
        <v>143</v>
      </c>
      <c r="K43" s="12"/>
      <c r="L43" s="12"/>
    </row>
    <row r="44" spans="1:12">
      <c r="A44" s="10">
        <v>46118</v>
      </c>
      <c r="B44" s="8"/>
      <c r="C44" s="8">
        <v>0.6875</v>
      </c>
      <c r="D44" s="7"/>
      <c r="E44" s="7"/>
      <c r="F44" s="9"/>
      <c r="G44" s="7"/>
      <c r="H44" s="9"/>
      <c r="I44" s="40"/>
      <c r="J44" s="7" t="s">
        <v>143</v>
      </c>
      <c r="K44" s="12"/>
      <c r="L44" s="12"/>
    </row>
    <row r="45" spans="1:12">
      <c r="A45" s="10">
        <v>46118</v>
      </c>
      <c r="B45" s="8">
        <v>0.746527777777778</v>
      </c>
      <c r="C45" s="8">
        <v>0.840277777777778</v>
      </c>
      <c r="D45" s="7" t="s">
        <v>30</v>
      </c>
      <c r="E45" s="7" t="s">
        <v>176</v>
      </c>
      <c r="F45" s="9">
        <v>1411</v>
      </c>
      <c r="G45" s="7">
        <v>2</v>
      </c>
      <c r="H45" s="9">
        <v>2822</v>
      </c>
      <c r="I45" s="40"/>
      <c r="J45" s="7" t="s">
        <v>145</v>
      </c>
      <c r="K45" s="12"/>
      <c r="L45" s="12"/>
    </row>
    <row r="46" spans="1:12">
      <c r="A46" s="10">
        <v>46118</v>
      </c>
      <c r="B46" s="8"/>
      <c r="C46" s="8"/>
      <c r="D46" s="7" t="s">
        <v>26</v>
      </c>
      <c r="E46" s="7"/>
      <c r="F46" s="9"/>
      <c r="G46" s="7"/>
      <c r="H46" s="9"/>
      <c r="I46" s="40">
        <v>46104</v>
      </c>
      <c r="J46" s="7" t="s">
        <v>143</v>
      </c>
      <c r="K46" s="12"/>
      <c r="L46" s="12"/>
    </row>
  </sheetData>
  <mergeCells count="5">
    <mergeCell ref="A2:J2"/>
    <mergeCell ref="A8:J8"/>
    <mergeCell ref="A20:J20"/>
    <mergeCell ref="A38:J38"/>
    <mergeCell ref="A41:J4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200"/>
  <sheetViews>
    <sheetView showGridLines="0" zoomScale="85" zoomScaleNormal="85" workbookViewId="0">
      <pane ySplit="4" topLeftCell="A5" activePane="bottomLeft" state="frozen"/>
      <selection/>
      <selection pane="bottomLeft" activeCell="F14" sqref="F14"/>
    </sheetView>
  </sheetViews>
  <sheetFormatPr defaultColWidth="9" defaultRowHeight="14.25"/>
  <cols>
    <col min="1" max="3" width="11" style="14" customWidth="1"/>
    <col min="4" max="4" width="10" style="14" customWidth="1"/>
    <col min="5" max="5" width="21" style="14" customWidth="1"/>
    <col min="6" max="6" width="38" style="14" customWidth="1"/>
    <col min="7" max="7" width="12" style="14" customWidth="1"/>
    <col min="8" max="8" width="10.625" style="14" customWidth="1"/>
    <col min="9" max="9" width="13" style="14" customWidth="1"/>
    <col min="10" max="10" width="17.75" style="14" customWidth="1"/>
    <col min="11" max="11" width="13" style="14" customWidth="1"/>
    <col min="12" max="12" width="24" style="14" customWidth="1"/>
    <col min="13" max="13" width="13" hidden="1" customWidth="1"/>
    <col min="14" max="16384" width="9" style="14" customWidth="1"/>
  </cols>
  <sheetData>
    <row r="1" ht="33.95" customHeight="1" spans="1:13">
      <c r="A1" s="15" t="s">
        <v>177</v>
      </c>
      <c r="M1" s="1">
        <v>0</v>
      </c>
    </row>
    <row r="2" ht="24.95" customHeight="1" spans="1:13">
      <c r="A2" s="16" t="s">
        <v>1</v>
      </c>
      <c r="B2" s="17">
        <v>46114</v>
      </c>
      <c r="C2" s="17">
        <v>46118</v>
      </c>
      <c r="D2" s="16" t="s">
        <v>2</v>
      </c>
      <c r="E2" s="18">
        <v>2</v>
      </c>
      <c r="G2" s="16" t="s">
        <v>3</v>
      </c>
      <c r="H2" s="19">
        <f>SUM(I5:I199)</f>
        <v>6564.21</v>
      </c>
      <c r="J2" s="16" t="s">
        <v>4</v>
      </c>
      <c r="K2" s="18">
        <f>COUNTIF(K5:K199,"待购买")+COUNTIF(K5:K199,"待预约")</f>
        <v>4</v>
      </c>
      <c r="M2" s="1">
        <v>0.00694444444444444</v>
      </c>
    </row>
    <row r="3" ht="21" customHeight="1" spans="1:13">
      <c r="A3" s="20" t="s">
        <v>178</v>
      </c>
      <c r="M3" s="1">
        <v>0.0138888888888889</v>
      </c>
    </row>
    <row r="4" ht="26.1" customHeight="1" spans="1:13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21" t="s">
        <v>11</v>
      </c>
      <c r="G4" s="21" t="s">
        <v>12</v>
      </c>
      <c r="H4" s="21" t="s">
        <v>13</v>
      </c>
      <c r="I4" s="21" t="s">
        <v>14</v>
      </c>
      <c r="J4" s="21" t="s">
        <v>15</v>
      </c>
      <c r="K4" s="21" t="s">
        <v>16</v>
      </c>
      <c r="L4" s="21" t="s">
        <v>17</v>
      </c>
      <c r="M4" s="1">
        <v>0.0208333333333333</v>
      </c>
    </row>
    <row r="5" ht="27" customHeight="1" spans="1:13">
      <c r="A5" s="22" t="s">
        <v>141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1">
        <v>0.0277777777777778</v>
      </c>
    </row>
    <row r="6" ht="24.95" customHeight="1" spans="1:13">
      <c r="A6" s="24">
        <v>46114</v>
      </c>
      <c r="B6" s="25">
        <v>0.770833333333333</v>
      </c>
      <c r="C6" s="25">
        <v>0.791666666666667</v>
      </c>
      <c r="D6" s="26" t="s">
        <v>22</v>
      </c>
      <c r="E6" s="27" t="s">
        <v>23</v>
      </c>
      <c r="F6" s="27" t="s">
        <v>142</v>
      </c>
      <c r="G6" s="28"/>
      <c r="H6" s="29">
        <v>1</v>
      </c>
      <c r="I6" s="28"/>
      <c r="J6" s="30"/>
      <c r="K6" s="26" t="s">
        <v>21</v>
      </c>
      <c r="M6" s="1">
        <v>0.0347222222222222</v>
      </c>
    </row>
    <row r="7" ht="24.95" customHeight="1" spans="1:13">
      <c r="A7" s="31">
        <v>46114</v>
      </c>
      <c r="B7" s="32">
        <v>0.811111111111111</v>
      </c>
      <c r="C7" s="32">
        <v>0.826388888888889</v>
      </c>
      <c r="D7" s="26" t="s">
        <v>22</v>
      </c>
      <c r="E7" s="33" t="s">
        <v>26</v>
      </c>
      <c r="F7" s="33" t="s">
        <v>144</v>
      </c>
      <c r="G7" s="34">
        <v>45</v>
      </c>
      <c r="H7" s="35">
        <v>2</v>
      </c>
      <c r="I7" s="34">
        <f>G7*H7</f>
        <v>90</v>
      </c>
      <c r="J7" s="36">
        <v>46100</v>
      </c>
      <c r="K7" s="26" t="s">
        <v>28</v>
      </c>
      <c r="M7" s="1">
        <v>0.0416666666666667</v>
      </c>
    </row>
    <row r="8" ht="24.95" customHeight="1" spans="1:13">
      <c r="A8" s="24">
        <v>46114</v>
      </c>
      <c r="B8" s="25">
        <v>0.875</v>
      </c>
      <c r="C8" s="25">
        <v>0.996527777777778</v>
      </c>
      <c r="D8" s="26" t="s">
        <v>22</v>
      </c>
      <c r="E8" s="27" t="s">
        <v>30</v>
      </c>
      <c r="F8" s="27" t="s">
        <v>146</v>
      </c>
      <c r="G8" s="28">
        <v>610.95</v>
      </c>
      <c r="H8" s="29">
        <v>2</v>
      </c>
      <c r="I8" s="28">
        <f>G8*H8</f>
        <v>1221.9</v>
      </c>
      <c r="J8" s="30"/>
      <c r="K8" s="26" t="s">
        <v>28</v>
      </c>
      <c r="M8" s="1">
        <v>0.0486111111111111</v>
      </c>
    </row>
    <row r="9" ht="24.95" customHeight="1" spans="1:13">
      <c r="A9" s="31">
        <v>46114</v>
      </c>
      <c r="B9" s="32"/>
      <c r="C9" s="32"/>
      <c r="D9" s="26" t="s">
        <v>41</v>
      </c>
      <c r="E9" s="33" t="s">
        <v>42</v>
      </c>
      <c r="F9" s="33" t="s">
        <v>147</v>
      </c>
      <c r="G9" s="34">
        <v>272.91</v>
      </c>
      <c r="H9" s="35">
        <v>1</v>
      </c>
      <c r="I9" s="34">
        <f>G9*H9</f>
        <v>272.91</v>
      </c>
      <c r="J9" s="36"/>
      <c r="K9" s="26" t="s">
        <v>28</v>
      </c>
      <c r="M9" s="1">
        <v>0.0555555555555556</v>
      </c>
    </row>
    <row r="10" ht="27" customHeight="1" spans="1:13">
      <c r="A10" s="22" t="s">
        <v>148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1">
        <v>0.0625</v>
      </c>
    </row>
    <row r="11" ht="24.95" customHeight="1" spans="1:13">
      <c r="A11" s="31">
        <v>46115</v>
      </c>
      <c r="B11" s="32">
        <v>0.291666666666667</v>
      </c>
      <c r="C11" s="32"/>
      <c r="D11" s="26" t="s">
        <v>19</v>
      </c>
      <c r="E11" s="33" t="s">
        <v>20</v>
      </c>
      <c r="F11" s="33"/>
      <c r="G11" s="34"/>
      <c r="H11" s="35"/>
      <c r="I11" s="34"/>
      <c r="J11" s="36"/>
      <c r="K11" s="26" t="s">
        <v>21</v>
      </c>
      <c r="M11" s="1">
        <v>0.0694444444444444</v>
      </c>
    </row>
    <row r="12" ht="24.95" customHeight="1" spans="1:13">
      <c r="A12" s="24">
        <v>46115</v>
      </c>
      <c r="B12" s="25">
        <v>0.333333333333333</v>
      </c>
      <c r="C12" s="25">
        <v>0.354166666666667</v>
      </c>
      <c r="D12" s="26" t="s">
        <v>22</v>
      </c>
      <c r="E12" s="27" t="s">
        <v>23</v>
      </c>
      <c r="F12" s="27"/>
      <c r="G12" s="28"/>
      <c r="H12" s="29"/>
      <c r="I12" s="28"/>
      <c r="J12" s="30"/>
      <c r="K12" s="26" t="s">
        <v>21</v>
      </c>
      <c r="M12" s="1">
        <v>0.0763888888888889</v>
      </c>
    </row>
    <row r="13" ht="24.95" customHeight="1" spans="1:13">
      <c r="A13" s="31">
        <v>46115</v>
      </c>
      <c r="B13" s="32">
        <v>0.354166666666667</v>
      </c>
      <c r="C13" s="32">
        <v>0.5625</v>
      </c>
      <c r="D13" s="26" t="s">
        <v>45</v>
      </c>
      <c r="E13" s="33" t="s">
        <v>149</v>
      </c>
      <c r="F13" s="33" t="s">
        <v>150</v>
      </c>
      <c r="G13" s="34">
        <v>55</v>
      </c>
      <c r="H13" s="35">
        <v>2</v>
      </c>
      <c r="I13" s="34">
        <f>G13*H13</f>
        <v>110</v>
      </c>
      <c r="J13" s="36"/>
      <c r="K13" s="26" t="s">
        <v>28</v>
      </c>
      <c r="M13" s="1">
        <v>0.0833333333333333</v>
      </c>
    </row>
    <row r="14" ht="24.95" customHeight="1" spans="1:13">
      <c r="A14" s="24">
        <v>46115</v>
      </c>
      <c r="B14" s="25"/>
      <c r="C14" s="25"/>
      <c r="D14" s="26" t="s">
        <v>22</v>
      </c>
      <c r="E14" s="27" t="s">
        <v>151</v>
      </c>
      <c r="F14" s="27"/>
      <c r="G14" s="28"/>
      <c r="H14" s="29"/>
      <c r="I14" s="28"/>
      <c r="J14" s="30"/>
      <c r="K14" s="26" t="s">
        <v>21</v>
      </c>
      <c r="M14" s="1">
        <v>0.0902777777777778</v>
      </c>
    </row>
    <row r="15" ht="24.95" customHeight="1" spans="1:13">
      <c r="A15" s="31">
        <v>46115</v>
      </c>
      <c r="B15" s="32"/>
      <c r="C15" s="32"/>
      <c r="D15" s="26" t="s">
        <v>46</v>
      </c>
      <c r="E15" s="33" t="s">
        <v>152</v>
      </c>
      <c r="F15" s="33"/>
      <c r="G15" s="34"/>
      <c r="H15" s="35"/>
      <c r="I15" s="34"/>
      <c r="J15" s="36"/>
      <c r="K15" s="26" t="s">
        <v>21</v>
      </c>
      <c r="M15" s="1">
        <v>0.0972222222222222</v>
      </c>
    </row>
    <row r="16" ht="24.95" customHeight="1" spans="1:13">
      <c r="A16" s="24">
        <v>46115</v>
      </c>
      <c r="B16" s="25">
        <v>0.604166666666667</v>
      </c>
      <c r="C16" s="25"/>
      <c r="D16" s="26" t="s">
        <v>41</v>
      </c>
      <c r="E16" s="27" t="s">
        <v>42</v>
      </c>
      <c r="F16" s="27" t="s">
        <v>153</v>
      </c>
      <c r="G16" s="28">
        <v>862</v>
      </c>
      <c r="H16" s="29">
        <v>1</v>
      </c>
      <c r="I16" s="28">
        <f>G16*H16</f>
        <v>862</v>
      </c>
      <c r="J16" s="30"/>
      <c r="K16" s="26" t="s">
        <v>28</v>
      </c>
      <c r="M16" s="1">
        <v>0.104166666666667</v>
      </c>
    </row>
    <row r="17" ht="24.95" customHeight="1" spans="1:13">
      <c r="A17" s="31">
        <v>46115</v>
      </c>
      <c r="B17" s="32">
        <v>0.625</v>
      </c>
      <c r="C17" s="32">
        <v>0.708333333333333</v>
      </c>
      <c r="D17" s="26" t="s">
        <v>45</v>
      </c>
      <c r="E17" s="33" t="s">
        <v>154</v>
      </c>
      <c r="F17" s="33" t="s">
        <v>155</v>
      </c>
      <c r="G17" s="34"/>
      <c r="H17" s="35"/>
      <c r="I17" s="34"/>
      <c r="J17" s="36">
        <v>46115.5833333333</v>
      </c>
      <c r="K17" s="26" t="s">
        <v>179</v>
      </c>
      <c r="M17" s="1">
        <v>0.111111111111111</v>
      </c>
    </row>
    <row r="18" ht="24.95" customHeight="1" spans="1:13">
      <c r="A18" s="24">
        <v>46115</v>
      </c>
      <c r="B18" s="25">
        <v>0.729166666666667</v>
      </c>
      <c r="C18" s="25"/>
      <c r="D18" s="26" t="s">
        <v>45</v>
      </c>
      <c r="E18" s="27" t="s">
        <v>156</v>
      </c>
      <c r="F18" s="27"/>
      <c r="G18" s="28"/>
      <c r="H18" s="29"/>
      <c r="I18" s="28"/>
      <c r="J18" s="30"/>
      <c r="K18" s="26" t="s">
        <v>21</v>
      </c>
      <c r="M18" s="1">
        <v>0.118055555555556</v>
      </c>
    </row>
    <row r="19" ht="24.95" customHeight="1" spans="1:13">
      <c r="A19" s="31">
        <v>46115</v>
      </c>
      <c r="B19" s="32"/>
      <c r="C19" s="32"/>
      <c r="D19" s="26" t="s">
        <v>46</v>
      </c>
      <c r="E19" s="33" t="s">
        <v>157</v>
      </c>
      <c r="F19" s="33"/>
      <c r="G19" s="34"/>
      <c r="H19" s="35"/>
      <c r="I19" s="34"/>
      <c r="J19" s="36"/>
      <c r="K19" s="26" t="s">
        <v>21</v>
      </c>
      <c r="M19" s="1">
        <v>0.125</v>
      </c>
    </row>
    <row r="20" ht="24.95" customHeight="1" spans="1:13">
      <c r="A20" s="24">
        <v>46115</v>
      </c>
      <c r="B20" s="25"/>
      <c r="C20" s="25"/>
      <c r="D20" s="26" t="s">
        <v>45</v>
      </c>
      <c r="E20" s="27" t="s">
        <v>158</v>
      </c>
      <c r="F20" s="27"/>
      <c r="G20" s="28"/>
      <c r="H20" s="29"/>
      <c r="I20" s="28"/>
      <c r="J20" s="30"/>
      <c r="K20" s="26" t="s">
        <v>21</v>
      </c>
      <c r="M20" s="1">
        <v>0.131944444444444</v>
      </c>
    </row>
    <row r="21" ht="24.95" customHeight="1" spans="1:13">
      <c r="A21" s="31">
        <v>46115</v>
      </c>
      <c r="B21" s="32"/>
      <c r="C21" s="32"/>
      <c r="D21" s="26" t="s">
        <v>41</v>
      </c>
      <c r="E21" s="33" t="s">
        <v>159</v>
      </c>
      <c r="F21" s="33"/>
      <c r="G21" s="34"/>
      <c r="H21" s="35"/>
      <c r="I21" s="34"/>
      <c r="J21" s="36"/>
      <c r="K21" s="26" t="s">
        <v>38</v>
      </c>
      <c r="M21" s="1">
        <v>0.138888888888889</v>
      </c>
    </row>
    <row r="22" ht="27" customHeight="1" spans="1:13">
      <c r="A22" s="22" t="s">
        <v>160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1">
        <v>0.145833333333333</v>
      </c>
    </row>
    <row r="23" ht="24.95" customHeight="1" spans="1:13">
      <c r="A23" s="31">
        <v>46116</v>
      </c>
      <c r="B23" s="32">
        <v>0.3125</v>
      </c>
      <c r="C23" s="32">
        <v>0.333333333333333</v>
      </c>
      <c r="D23" s="26" t="s">
        <v>19</v>
      </c>
      <c r="E23" s="33" t="s">
        <v>20</v>
      </c>
      <c r="F23" s="33"/>
      <c r="G23" s="34"/>
      <c r="H23" s="35"/>
      <c r="I23" s="34"/>
      <c r="J23" s="36"/>
      <c r="K23" s="26" t="s">
        <v>21</v>
      </c>
      <c r="M23" s="1">
        <v>0.152777777777778</v>
      </c>
    </row>
    <row r="24" ht="24.95" customHeight="1" spans="1:13">
      <c r="A24" s="24">
        <v>46116</v>
      </c>
      <c r="B24" s="25">
        <v>0.333333333333333</v>
      </c>
      <c r="C24" s="25">
        <v>0.354166666666667</v>
      </c>
      <c r="D24" s="26" t="s">
        <v>46</v>
      </c>
      <c r="E24" s="27" t="s">
        <v>48</v>
      </c>
      <c r="F24" s="27" t="s">
        <v>161</v>
      </c>
      <c r="G24" s="28"/>
      <c r="H24" s="29"/>
      <c r="I24" s="28"/>
      <c r="J24" s="30"/>
      <c r="K24" s="26" t="s">
        <v>28</v>
      </c>
      <c r="M24" s="1">
        <v>0.159722222222222</v>
      </c>
    </row>
    <row r="25" ht="24.95" customHeight="1" spans="1:13">
      <c r="A25" s="31">
        <v>46116</v>
      </c>
      <c r="B25" s="32"/>
      <c r="C25" s="32"/>
      <c r="D25" s="26" t="s">
        <v>22</v>
      </c>
      <c r="E25" s="33" t="s">
        <v>162</v>
      </c>
      <c r="F25" s="33" t="s">
        <v>163</v>
      </c>
      <c r="G25" s="34"/>
      <c r="H25" s="35"/>
      <c r="I25" s="34"/>
      <c r="J25" s="36"/>
      <c r="K25" s="26" t="s">
        <v>21</v>
      </c>
      <c r="M25" s="1">
        <v>0.166666666666667</v>
      </c>
    </row>
    <row r="26" ht="24.95" customHeight="1" spans="1:13">
      <c r="A26" s="24">
        <v>46116</v>
      </c>
      <c r="B26" s="25"/>
      <c r="C26" s="25"/>
      <c r="D26" s="26" t="s">
        <v>45</v>
      </c>
      <c r="E26" s="27" t="s">
        <v>164</v>
      </c>
      <c r="F26" s="27" t="s">
        <v>165</v>
      </c>
      <c r="G26" s="28"/>
      <c r="H26" s="29"/>
      <c r="I26" s="28"/>
      <c r="J26" s="30"/>
      <c r="K26" s="26" t="s">
        <v>21</v>
      </c>
      <c r="M26" s="1">
        <v>0.173611111111111</v>
      </c>
    </row>
    <row r="27" ht="24.95" customHeight="1" spans="1:13">
      <c r="A27" s="31">
        <v>46116</v>
      </c>
      <c r="B27" s="32"/>
      <c r="C27" s="32"/>
      <c r="D27" s="26" t="s">
        <v>45</v>
      </c>
      <c r="E27" s="33" t="s">
        <v>166</v>
      </c>
      <c r="F27" s="33" t="s">
        <v>167</v>
      </c>
      <c r="G27" s="34"/>
      <c r="H27" s="35"/>
      <c r="I27" s="34"/>
      <c r="J27" s="36"/>
      <c r="K27" s="26" t="s">
        <v>21</v>
      </c>
      <c r="M27" s="1">
        <v>0.180555555555556</v>
      </c>
    </row>
    <row r="28" ht="24.95" customHeight="1" spans="1:13">
      <c r="A28" s="24">
        <v>46116</v>
      </c>
      <c r="B28" s="25"/>
      <c r="C28" s="25"/>
      <c r="D28" s="26" t="s">
        <v>45</v>
      </c>
      <c r="E28" s="27" t="s">
        <v>168</v>
      </c>
      <c r="F28" s="27"/>
      <c r="G28" s="28"/>
      <c r="H28" s="29"/>
      <c r="I28" s="28"/>
      <c r="J28" s="30"/>
      <c r="K28" s="26" t="s">
        <v>21</v>
      </c>
      <c r="M28" s="1">
        <v>0.1875</v>
      </c>
    </row>
    <row r="29" ht="24.95" customHeight="1" spans="1:13">
      <c r="A29" s="31">
        <v>46116</v>
      </c>
      <c r="B29" s="32"/>
      <c r="C29" s="32"/>
      <c r="D29" s="26" t="s">
        <v>46</v>
      </c>
      <c r="E29" s="33" t="s">
        <v>67</v>
      </c>
      <c r="F29" s="33"/>
      <c r="G29" s="34"/>
      <c r="H29" s="35"/>
      <c r="I29" s="34"/>
      <c r="J29" s="36"/>
      <c r="K29" s="26" t="s">
        <v>21</v>
      </c>
      <c r="M29" s="1">
        <v>0.194444444444444</v>
      </c>
    </row>
    <row r="30" ht="24.95" customHeight="1" spans="1:13">
      <c r="A30" s="24">
        <v>46116</v>
      </c>
      <c r="B30" s="25"/>
      <c r="C30" s="25"/>
      <c r="D30" s="26" t="s">
        <v>45</v>
      </c>
      <c r="E30" s="27" t="s">
        <v>169</v>
      </c>
      <c r="F30" s="27" t="s">
        <v>170</v>
      </c>
      <c r="G30" s="28"/>
      <c r="H30" s="29"/>
      <c r="I30" s="28"/>
      <c r="J30" s="30"/>
      <c r="K30" s="26" t="s">
        <v>21</v>
      </c>
      <c r="M30" s="1">
        <v>0.201388888888889</v>
      </c>
    </row>
    <row r="31" ht="24.95" customHeight="1" spans="1:13">
      <c r="A31" s="31">
        <v>46116</v>
      </c>
      <c r="B31" s="32"/>
      <c r="C31" s="32"/>
      <c r="D31" s="26" t="s">
        <v>22</v>
      </c>
      <c r="E31" s="33" t="s">
        <v>26</v>
      </c>
      <c r="F31" s="33" t="s">
        <v>171</v>
      </c>
      <c r="G31" s="34"/>
      <c r="H31" s="35"/>
      <c r="I31" s="34"/>
      <c r="J31" s="36"/>
      <c r="K31" s="26" t="s">
        <v>38</v>
      </c>
      <c r="M31" s="1">
        <v>0.208333333333333</v>
      </c>
    </row>
    <row r="32" ht="24.95" customHeight="1" spans="1:13">
      <c r="A32" s="24">
        <v>46116</v>
      </c>
      <c r="B32" s="25"/>
      <c r="C32" s="25"/>
      <c r="D32" s="26" t="s">
        <v>41</v>
      </c>
      <c r="E32" s="27" t="s">
        <v>42</v>
      </c>
      <c r="F32" s="27" t="s">
        <v>172</v>
      </c>
      <c r="G32" s="28"/>
      <c r="H32" s="29">
        <v>1</v>
      </c>
      <c r="I32" s="28">
        <v>612.89</v>
      </c>
      <c r="J32" s="30"/>
      <c r="K32" s="26" t="s">
        <v>28</v>
      </c>
      <c r="M32" s="1">
        <v>0.215277777777778</v>
      </c>
    </row>
    <row r="33" ht="27" customHeight="1" spans="1:13">
      <c r="A33" s="22" t="s">
        <v>173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1">
        <v>0.222222222222222</v>
      </c>
    </row>
    <row r="34" ht="24.95" customHeight="1" spans="1:13">
      <c r="A34" s="24">
        <v>46117</v>
      </c>
      <c r="B34" s="25"/>
      <c r="C34" s="25"/>
      <c r="D34" s="26" t="s">
        <v>41</v>
      </c>
      <c r="E34" s="27" t="s">
        <v>159</v>
      </c>
      <c r="F34" s="27" t="s">
        <v>172</v>
      </c>
      <c r="G34" s="28"/>
      <c r="H34" s="29">
        <v>1</v>
      </c>
      <c r="I34" s="28">
        <v>572.51</v>
      </c>
      <c r="J34" s="30"/>
      <c r="K34" s="26" t="s">
        <v>28</v>
      </c>
      <c r="M34" s="1">
        <v>0.229166666666667</v>
      </c>
    </row>
    <row r="35" ht="27" customHeight="1" spans="1:13">
      <c r="A35" s="22" t="s">
        <v>174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1">
        <v>0.236111111111111</v>
      </c>
    </row>
    <row r="36" ht="24.95" customHeight="1" spans="1:13">
      <c r="A36" s="24">
        <v>46118</v>
      </c>
      <c r="B36" s="25"/>
      <c r="C36" s="25"/>
      <c r="D36" s="26" t="s">
        <v>41</v>
      </c>
      <c r="E36" s="27" t="s">
        <v>175</v>
      </c>
      <c r="F36" s="27"/>
      <c r="G36" s="28"/>
      <c r="H36" s="29"/>
      <c r="I36" s="28"/>
      <c r="J36" s="30"/>
      <c r="K36" s="26" t="s">
        <v>21</v>
      </c>
      <c r="M36" s="1">
        <v>0.243055555555556</v>
      </c>
    </row>
    <row r="37" ht="24.95" customHeight="1" spans="1:13">
      <c r="A37" s="31">
        <v>46118</v>
      </c>
      <c r="B37" s="32"/>
      <c r="C37" s="32">
        <v>0.6875</v>
      </c>
      <c r="D37" s="26" t="s">
        <v>45</v>
      </c>
      <c r="E37" s="33"/>
      <c r="F37" s="33"/>
      <c r="G37" s="34"/>
      <c r="H37" s="35"/>
      <c r="I37" s="34"/>
      <c r="J37" s="36"/>
      <c r="K37" s="26" t="s">
        <v>21</v>
      </c>
      <c r="M37" s="1">
        <v>0.25</v>
      </c>
    </row>
    <row r="38" ht="24.95" customHeight="1" spans="1:13">
      <c r="A38" s="24">
        <v>46118</v>
      </c>
      <c r="B38" s="25">
        <v>0.746527777777778</v>
      </c>
      <c r="C38" s="25">
        <v>0.840277777777778</v>
      </c>
      <c r="D38" s="26" t="s">
        <v>22</v>
      </c>
      <c r="E38" s="27" t="s">
        <v>30</v>
      </c>
      <c r="F38" s="27" t="s">
        <v>176</v>
      </c>
      <c r="G38" s="28">
        <v>1411</v>
      </c>
      <c r="H38" s="29">
        <v>2</v>
      </c>
      <c r="I38" s="28">
        <f>G38*H38</f>
        <v>2822</v>
      </c>
      <c r="J38" s="30"/>
      <c r="K38" s="26" t="s">
        <v>28</v>
      </c>
      <c r="M38" s="1">
        <v>0.256944444444444</v>
      </c>
    </row>
    <row r="39" ht="24.95" customHeight="1" spans="1:13">
      <c r="A39" s="31">
        <v>46118</v>
      </c>
      <c r="B39" s="32"/>
      <c r="C39" s="32"/>
      <c r="D39" s="26" t="s">
        <v>22</v>
      </c>
      <c r="E39" s="33" t="s">
        <v>26</v>
      </c>
      <c r="F39" s="33"/>
      <c r="G39" s="34"/>
      <c r="H39" s="35"/>
      <c r="I39" s="34"/>
      <c r="J39" s="36">
        <v>46104</v>
      </c>
      <c r="K39" s="26" t="s">
        <v>179</v>
      </c>
      <c r="M39" s="1">
        <v>0.263888888888889</v>
      </c>
    </row>
    <row r="40" ht="16.5" customHeight="1" spans="1:13">
      <c r="D40" s="37"/>
      <c r="K40" s="37"/>
      <c r="M40" s="1">
        <v>0.270833333333333</v>
      </c>
    </row>
    <row r="41" ht="16.5" customHeight="1" spans="1:13">
      <c r="D41" s="37"/>
      <c r="K41" s="37"/>
      <c r="M41" s="1">
        <v>0.277777777777778</v>
      </c>
    </row>
    <row r="42" ht="16.5" customHeight="1" spans="1:13">
      <c r="D42" s="37"/>
      <c r="K42" s="37"/>
      <c r="M42" s="1">
        <v>0.284722222222222</v>
      </c>
    </row>
    <row r="43" ht="16.5" customHeight="1" spans="1:13">
      <c r="D43" s="37"/>
      <c r="K43" s="37"/>
      <c r="M43" s="1">
        <v>0.291666666666667</v>
      </c>
    </row>
    <row r="44" ht="16.5" customHeight="1" spans="1:13">
      <c r="D44" s="37"/>
      <c r="K44" s="37"/>
      <c r="M44" s="1">
        <v>0.298611111111111</v>
      </c>
    </row>
    <row r="45" ht="16.5" customHeight="1" spans="1:13">
      <c r="D45" s="37"/>
      <c r="K45" s="37"/>
      <c r="M45" s="1">
        <v>0.305555555555556</v>
      </c>
    </row>
    <row r="46" ht="16.5" customHeight="1" spans="1:13">
      <c r="D46" s="37"/>
      <c r="K46" s="37"/>
      <c r="M46" s="1">
        <v>0.3125</v>
      </c>
    </row>
    <row r="47" ht="16.5" customHeight="1" spans="1:13">
      <c r="D47" s="37"/>
      <c r="K47" s="37"/>
      <c r="M47" s="1">
        <v>0.319444444444444</v>
      </c>
    </row>
    <row r="48" ht="16.5" customHeight="1" spans="1:13">
      <c r="D48" s="37"/>
      <c r="K48" s="37"/>
      <c r="M48" s="1">
        <v>0.326388888888889</v>
      </c>
    </row>
    <row r="49" ht="16.5" customHeight="1" spans="4:13">
      <c r="D49" s="37"/>
      <c r="K49" s="37"/>
      <c r="M49" s="1">
        <v>0.333333333333333</v>
      </c>
    </row>
    <row r="50" ht="16.5" customHeight="1" spans="4:13">
      <c r="D50" s="37"/>
      <c r="K50" s="37"/>
      <c r="M50" s="1">
        <v>0.340277777777778</v>
      </c>
    </row>
    <row r="51" ht="16.5" customHeight="1" spans="4:13">
      <c r="D51" s="37"/>
      <c r="K51" s="37"/>
      <c r="M51" s="1">
        <v>0.347222222222222</v>
      </c>
    </row>
    <row r="52" ht="16.5" customHeight="1" spans="4:13">
      <c r="D52" s="37"/>
      <c r="K52" s="37"/>
      <c r="M52" s="1">
        <v>0.354166666666667</v>
      </c>
    </row>
    <row r="53" ht="16.5" customHeight="1" spans="4:13">
      <c r="D53" s="37"/>
      <c r="K53" s="37"/>
      <c r="M53" s="1">
        <v>0.361111111111111</v>
      </c>
    </row>
    <row r="54" ht="16.5" customHeight="1" spans="4:13">
      <c r="D54" s="37"/>
      <c r="K54" s="37"/>
      <c r="M54" s="1">
        <v>0.368055555555556</v>
      </c>
    </row>
    <row r="55" ht="16.5" customHeight="1" spans="4:13">
      <c r="D55" s="37"/>
      <c r="K55" s="37"/>
      <c r="M55" s="1">
        <v>0.375</v>
      </c>
    </row>
    <row r="56" ht="16.5" customHeight="1" spans="4:13">
      <c r="D56" s="37"/>
      <c r="K56" s="37"/>
      <c r="M56" s="1">
        <v>0.381944444444444</v>
      </c>
    </row>
    <row r="57" ht="16.5" customHeight="1" spans="4:13">
      <c r="D57" s="37"/>
      <c r="K57" s="37"/>
      <c r="M57" s="1">
        <v>0.388888888888889</v>
      </c>
    </row>
    <row r="58" ht="16.5" customHeight="1" spans="4:13">
      <c r="D58" s="37"/>
      <c r="K58" s="37"/>
      <c r="M58" s="1">
        <v>0.395833333333333</v>
      </c>
    </row>
    <row r="59" ht="16.5" customHeight="1" spans="4:13">
      <c r="D59" s="37"/>
      <c r="K59" s="37"/>
      <c r="M59" s="1">
        <v>0.402777777777778</v>
      </c>
    </row>
    <row r="60" ht="16.5" customHeight="1" spans="4:13">
      <c r="D60" s="37"/>
      <c r="K60" s="37"/>
      <c r="M60" s="1">
        <v>0.409722222222222</v>
      </c>
    </row>
    <row r="61" ht="16.5" customHeight="1" spans="4:13">
      <c r="D61" s="37"/>
      <c r="K61" s="37"/>
      <c r="M61" s="1">
        <v>0.416666666666667</v>
      </c>
    </row>
    <row r="62" ht="16.5" customHeight="1" spans="4:13">
      <c r="D62" s="37"/>
      <c r="K62" s="37"/>
      <c r="M62" s="1">
        <v>0.423611111111111</v>
      </c>
    </row>
    <row r="63" ht="16.5" customHeight="1" spans="4:13">
      <c r="D63" s="37"/>
      <c r="K63" s="37"/>
      <c r="M63" s="1">
        <v>0.430555555555556</v>
      </c>
    </row>
    <row r="64" ht="16.5" customHeight="1" spans="4:13">
      <c r="D64" s="37"/>
      <c r="K64" s="37"/>
      <c r="M64" s="1">
        <v>0.4375</v>
      </c>
    </row>
    <row r="65" ht="16.5" customHeight="1" spans="4:13">
      <c r="D65" s="37"/>
      <c r="K65" s="37"/>
      <c r="M65" s="1">
        <v>0.444444444444444</v>
      </c>
    </row>
    <row r="66" ht="16.5" customHeight="1" spans="4:13">
      <c r="D66" s="37"/>
      <c r="K66" s="37"/>
      <c r="M66" s="1">
        <v>0.451388888888889</v>
      </c>
    </row>
    <row r="67" ht="16.5" customHeight="1" spans="4:13">
      <c r="D67" s="37"/>
      <c r="K67" s="37"/>
      <c r="M67" s="1">
        <v>0.458333333333333</v>
      </c>
    </row>
    <row r="68" ht="16.5" customHeight="1" spans="4:13">
      <c r="D68" s="37"/>
      <c r="K68" s="37"/>
      <c r="M68" s="1">
        <v>0.465277777777778</v>
      </c>
    </row>
    <row r="69" ht="16.5" customHeight="1" spans="4:13">
      <c r="D69" s="37"/>
      <c r="K69" s="37"/>
      <c r="M69" s="1">
        <v>0.472222222222222</v>
      </c>
    </row>
    <row r="70" ht="16.5" customHeight="1" spans="4:13">
      <c r="D70" s="37"/>
      <c r="K70" s="37"/>
      <c r="M70" s="1">
        <v>0.479166666666667</v>
      </c>
    </row>
    <row r="71" ht="16.5" customHeight="1" spans="4:13">
      <c r="D71" s="37"/>
      <c r="K71" s="37"/>
      <c r="M71" s="1">
        <v>0.486111111111111</v>
      </c>
    </row>
    <row r="72" ht="16.5" customHeight="1" spans="4:13">
      <c r="D72" s="37"/>
      <c r="K72" s="37"/>
      <c r="M72" s="1">
        <v>0.493055555555556</v>
      </c>
    </row>
    <row r="73" ht="16.5" customHeight="1" spans="4:13">
      <c r="D73" s="37"/>
      <c r="K73" s="37"/>
      <c r="M73" s="1">
        <v>0.5</v>
      </c>
    </row>
    <row r="74" ht="16.5" customHeight="1" spans="4:13">
      <c r="D74" s="37"/>
      <c r="K74" s="37"/>
      <c r="M74" s="1">
        <v>0.506944444444444</v>
      </c>
    </row>
    <row r="75" ht="16.5" customHeight="1" spans="4:13">
      <c r="D75" s="37"/>
      <c r="K75" s="37"/>
      <c r="M75" s="1">
        <v>0.513888888888889</v>
      </c>
    </row>
    <row r="76" ht="16.5" customHeight="1" spans="4:13">
      <c r="D76" s="37"/>
      <c r="K76" s="37"/>
      <c r="M76" s="1">
        <v>0.520833333333333</v>
      </c>
    </row>
    <row r="77" ht="16.5" customHeight="1" spans="4:13">
      <c r="D77" s="37"/>
      <c r="K77" s="37"/>
      <c r="M77" s="1">
        <v>0.527777777777778</v>
      </c>
    </row>
    <row r="78" ht="16.5" customHeight="1" spans="4:13">
      <c r="D78" s="37"/>
      <c r="K78" s="37"/>
      <c r="M78" s="1">
        <v>0.534722222222222</v>
      </c>
    </row>
    <row r="79" ht="16.5" customHeight="1" spans="4:13">
      <c r="D79" s="37"/>
      <c r="K79" s="37"/>
      <c r="M79" s="1">
        <v>0.541666666666667</v>
      </c>
    </row>
    <row r="80" ht="16.5" customHeight="1" spans="4:13">
      <c r="D80" s="37"/>
      <c r="K80" s="37"/>
      <c r="M80" s="1">
        <v>0.548611111111111</v>
      </c>
    </row>
    <row r="81" ht="16.5" customHeight="1" spans="4:13">
      <c r="D81" s="37"/>
      <c r="K81" s="37"/>
      <c r="M81" s="1">
        <v>0.555555555555556</v>
      </c>
    </row>
    <row r="82" ht="16.5" customHeight="1" spans="4:13">
      <c r="D82" s="37"/>
      <c r="K82" s="37"/>
      <c r="M82" s="1">
        <v>0.5625</v>
      </c>
    </row>
    <row r="83" ht="16.5" customHeight="1" spans="4:13">
      <c r="D83" s="37"/>
      <c r="K83" s="37"/>
      <c r="M83" s="1">
        <v>0.569444444444444</v>
      </c>
    </row>
    <row r="84" ht="16.5" customHeight="1" spans="4:13">
      <c r="D84" s="37"/>
      <c r="K84" s="37"/>
      <c r="M84" s="1">
        <v>0.576388888888889</v>
      </c>
    </row>
    <row r="85" ht="16.5" customHeight="1" spans="4:13">
      <c r="D85" s="37"/>
      <c r="K85" s="37"/>
      <c r="M85" s="1">
        <v>0.583333333333333</v>
      </c>
    </row>
    <row r="86" ht="16.5" customHeight="1" spans="4:13">
      <c r="D86" s="37"/>
      <c r="K86" s="37"/>
      <c r="M86" s="1">
        <v>0.590277777777778</v>
      </c>
    </row>
    <row r="87" ht="16.5" customHeight="1" spans="4:13">
      <c r="D87" s="37"/>
      <c r="K87" s="37"/>
      <c r="M87" s="1">
        <v>0.597222222222222</v>
      </c>
    </row>
    <row r="88" ht="16.5" customHeight="1" spans="4:13">
      <c r="D88" s="37"/>
      <c r="K88" s="37"/>
      <c r="M88" s="1">
        <v>0.604166666666667</v>
      </c>
    </row>
    <row r="89" ht="16.5" customHeight="1" spans="4:13">
      <c r="D89" s="37"/>
      <c r="K89" s="37"/>
      <c r="M89" s="1">
        <v>0.611111111111111</v>
      </c>
    </row>
    <row r="90" ht="16.5" customHeight="1" spans="4:13">
      <c r="D90" s="37"/>
      <c r="K90" s="37"/>
      <c r="M90" s="1">
        <v>0.618055555555556</v>
      </c>
    </row>
    <row r="91" ht="16.5" customHeight="1" spans="4:13">
      <c r="D91" s="37"/>
      <c r="K91" s="37"/>
      <c r="M91" s="1">
        <v>0.625</v>
      </c>
    </row>
    <row r="92" ht="16.5" customHeight="1" spans="4:13">
      <c r="D92" s="37"/>
      <c r="K92" s="37"/>
      <c r="M92" s="1">
        <v>0.631944444444444</v>
      </c>
    </row>
    <row r="93" ht="16.5" customHeight="1" spans="4:13">
      <c r="D93" s="37"/>
      <c r="K93" s="37"/>
      <c r="M93" s="1">
        <v>0.638888888888889</v>
      </c>
    </row>
    <row r="94" ht="16.5" customHeight="1" spans="4:13">
      <c r="D94" s="37"/>
      <c r="K94" s="37"/>
      <c r="M94" s="1">
        <v>0.645833333333333</v>
      </c>
    </row>
    <row r="95" ht="16.5" customHeight="1" spans="4:13">
      <c r="D95" s="37"/>
      <c r="K95" s="37"/>
      <c r="M95" s="1">
        <v>0.652777777777778</v>
      </c>
    </row>
    <row r="96" ht="16.5" customHeight="1" spans="4:13">
      <c r="D96" s="37"/>
      <c r="K96" s="37"/>
      <c r="M96" s="1">
        <v>0.659722222222222</v>
      </c>
    </row>
    <row r="97" ht="16.5" customHeight="1" spans="4:13">
      <c r="D97" s="37"/>
      <c r="K97" s="37"/>
      <c r="M97" s="1">
        <v>0.666666666666667</v>
      </c>
    </row>
    <row r="98" ht="16.5" customHeight="1" spans="4:13">
      <c r="D98" s="37"/>
      <c r="K98" s="37"/>
      <c r="M98" s="1">
        <v>0.673611111111111</v>
      </c>
    </row>
    <row r="99" ht="16.5" customHeight="1" spans="4:13">
      <c r="D99" s="37"/>
      <c r="K99" s="37"/>
      <c r="M99" s="1">
        <v>0.680555555555556</v>
      </c>
    </row>
    <row r="100" ht="16.5" customHeight="1" spans="4:13">
      <c r="D100" s="37"/>
      <c r="K100" s="37"/>
      <c r="M100" s="1">
        <v>0.6875</v>
      </c>
    </row>
    <row r="101" ht="16.5" customHeight="1" spans="4:13">
      <c r="D101" s="37"/>
      <c r="K101" s="37"/>
      <c r="M101" s="1">
        <v>0.694444444444444</v>
      </c>
    </row>
    <row r="102" ht="16.5" customHeight="1" spans="4:13">
      <c r="D102" s="37"/>
      <c r="K102" s="37"/>
      <c r="M102" s="1">
        <v>0.701388888888889</v>
      </c>
    </row>
    <row r="103" ht="16.5" customHeight="1" spans="4:13">
      <c r="D103" s="37"/>
      <c r="K103" s="37"/>
      <c r="M103" s="1">
        <v>0.708333333333333</v>
      </c>
    </row>
    <row r="104" ht="16.5" customHeight="1" spans="4:13">
      <c r="D104" s="37"/>
      <c r="K104" s="37"/>
      <c r="M104" s="1">
        <v>0.715277777777778</v>
      </c>
    </row>
    <row r="105" ht="16.5" customHeight="1" spans="4:13">
      <c r="D105" s="37"/>
      <c r="K105" s="37"/>
      <c r="M105" s="1">
        <v>0.722222222222222</v>
      </c>
    </row>
    <row r="106" ht="16.5" customHeight="1" spans="4:13">
      <c r="D106" s="37"/>
      <c r="K106" s="37"/>
      <c r="M106" s="1">
        <v>0.729166666666667</v>
      </c>
    </row>
    <row r="107" ht="16.5" customHeight="1" spans="4:13">
      <c r="D107" s="37"/>
      <c r="K107" s="37"/>
      <c r="M107" s="1">
        <v>0.736111111111111</v>
      </c>
    </row>
    <row r="108" ht="16.5" customHeight="1" spans="4:13">
      <c r="D108" s="37"/>
      <c r="K108" s="37"/>
      <c r="M108" s="1">
        <v>0.743055555555556</v>
      </c>
    </row>
    <row r="109" ht="16.5" customHeight="1" spans="4:13">
      <c r="D109" s="37"/>
      <c r="K109" s="37"/>
      <c r="M109" s="1">
        <v>0.75</v>
      </c>
    </row>
    <row r="110" ht="16.5" customHeight="1" spans="4:13">
      <c r="D110" s="37"/>
      <c r="K110" s="37"/>
      <c r="M110" s="1">
        <v>0.756944444444444</v>
      </c>
    </row>
    <row r="111" ht="16.5" customHeight="1" spans="4:13">
      <c r="D111" s="37"/>
      <c r="K111" s="37"/>
      <c r="M111" s="1">
        <v>0.763888888888889</v>
      </c>
    </row>
    <row r="112" ht="16.5" customHeight="1" spans="4:13">
      <c r="D112" s="37"/>
      <c r="K112" s="37"/>
      <c r="M112" s="1">
        <v>0.770833333333333</v>
      </c>
    </row>
    <row r="113" ht="16.5" customHeight="1" spans="4:13">
      <c r="D113" s="37"/>
      <c r="K113" s="37"/>
      <c r="M113" s="1">
        <v>0.777777777777778</v>
      </c>
    </row>
    <row r="114" ht="16.5" customHeight="1" spans="4:13">
      <c r="D114" s="37"/>
      <c r="K114" s="37"/>
      <c r="M114" s="1">
        <v>0.784722222222222</v>
      </c>
    </row>
    <row r="115" ht="16.5" customHeight="1" spans="4:13">
      <c r="D115" s="37"/>
      <c r="K115" s="37"/>
      <c r="M115" s="1">
        <v>0.791666666666667</v>
      </c>
    </row>
    <row r="116" ht="16.5" customHeight="1" spans="4:13">
      <c r="D116" s="37"/>
      <c r="K116" s="37"/>
      <c r="M116" s="1">
        <v>0.798611111111111</v>
      </c>
    </row>
    <row r="117" ht="16.5" customHeight="1" spans="4:13">
      <c r="D117" s="37"/>
      <c r="K117" s="37"/>
      <c r="M117" s="1">
        <v>0.805555555555556</v>
      </c>
    </row>
    <row r="118" ht="16.5" customHeight="1" spans="4:13">
      <c r="D118" s="37"/>
      <c r="K118" s="37"/>
      <c r="M118" s="1">
        <v>0.8125</v>
      </c>
    </row>
    <row r="119" ht="16.5" customHeight="1" spans="4:13">
      <c r="D119" s="37"/>
      <c r="K119" s="37"/>
      <c r="M119" s="1">
        <v>0.819444444444444</v>
      </c>
    </row>
    <row r="120" ht="16.5" customHeight="1" spans="4:13">
      <c r="D120" s="37"/>
      <c r="K120" s="37"/>
      <c r="M120" s="1">
        <v>0.826388888888889</v>
      </c>
    </row>
    <row r="121" ht="16.5" customHeight="1" spans="4:13">
      <c r="D121" s="37"/>
      <c r="K121" s="37"/>
      <c r="M121" s="1">
        <v>0.833333333333333</v>
      </c>
    </row>
    <row r="122" ht="16.5" customHeight="1" spans="4:13">
      <c r="D122" s="37"/>
      <c r="K122" s="37"/>
      <c r="M122" s="1">
        <v>0.840277777777778</v>
      </c>
    </row>
    <row r="123" ht="16.5" customHeight="1" spans="4:13">
      <c r="D123" s="37"/>
      <c r="K123" s="37"/>
      <c r="M123" s="1">
        <v>0.847222222222222</v>
      </c>
    </row>
    <row r="124" ht="16.5" customHeight="1" spans="4:13">
      <c r="D124" s="37"/>
      <c r="K124" s="37"/>
      <c r="M124" s="1">
        <v>0.854166666666667</v>
      </c>
    </row>
    <row r="125" ht="16.5" customHeight="1" spans="4:13">
      <c r="D125" s="37"/>
      <c r="K125" s="37"/>
      <c r="M125" s="1">
        <v>0.861111111111111</v>
      </c>
    </row>
    <row r="126" ht="16.5" customHeight="1" spans="4:13">
      <c r="D126" s="37"/>
      <c r="K126" s="37"/>
      <c r="M126" s="1">
        <v>0.868055555555556</v>
      </c>
    </row>
    <row r="127" ht="16.5" customHeight="1" spans="4:13">
      <c r="D127" s="37"/>
      <c r="K127" s="37"/>
      <c r="M127" s="1">
        <v>0.875</v>
      </c>
    </row>
    <row r="128" ht="16.5" customHeight="1" spans="4:13">
      <c r="D128" s="37"/>
      <c r="K128" s="37"/>
      <c r="M128" s="1">
        <v>0.881944444444444</v>
      </c>
    </row>
    <row r="129" ht="16.5" customHeight="1" spans="4:13">
      <c r="D129" s="37"/>
      <c r="K129" s="37"/>
      <c r="M129" s="1">
        <v>0.888888888888889</v>
      </c>
    </row>
    <row r="130" ht="16.5" customHeight="1" spans="4:13">
      <c r="D130" s="37"/>
      <c r="K130" s="37"/>
      <c r="M130" s="1">
        <v>0.895833333333333</v>
      </c>
    </row>
    <row r="131" ht="16.5" customHeight="1" spans="4:13">
      <c r="D131" s="37"/>
      <c r="K131" s="37"/>
      <c r="M131" s="1">
        <v>0.902777777777778</v>
      </c>
    </row>
    <row r="132" ht="16.5" customHeight="1" spans="4:13">
      <c r="D132" s="37"/>
      <c r="K132" s="37"/>
      <c r="M132" s="1">
        <v>0.909722222222222</v>
      </c>
    </row>
    <row r="133" ht="16.5" customHeight="1" spans="4:13">
      <c r="D133" s="37"/>
      <c r="K133" s="37"/>
      <c r="M133" s="1">
        <v>0.916666666666667</v>
      </c>
    </row>
    <row r="134" ht="16.5" customHeight="1" spans="4:13">
      <c r="D134" s="37"/>
      <c r="K134" s="37"/>
      <c r="M134" s="1">
        <v>0.923611111111111</v>
      </c>
    </row>
    <row r="135" ht="16.5" customHeight="1" spans="4:13">
      <c r="D135" s="37"/>
      <c r="K135" s="37"/>
      <c r="M135" s="1">
        <v>0.930555555555556</v>
      </c>
    </row>
    <row r="136" ht="16.5" customHeight="1" spans="4:13">
      <c r="D136" s="37"/>
      <c r="K136" s="37"/>
      <c r="M136" s="1">
        <v>0.9375</v>
      </c>
    </row>
    <row r="137" ht="16.5" customHeight="1" spans="4:13">
      <c r="D137" s="37"/>
      <c r="K137" s="37"/>
      <c r="M137" s="1">
        <v>0.944444444444444</v>
      </c>
    </row>
    <row r="138" ht="16.5" customHeight="1" spans="4:13">
      <c r="D138" s="37"/>
      <c r="K138" s="37"/>
      <c r="M138" s="1">
        <v>0.951388888888889</v>
      </c>
    </row>
    <row r="139" ht="16.5" customHeight="1" spans="4:13">
      <c r="D139" s="37"/>
      <c r="K139" s="37"/>
      <c r="M139" s="1">
        <v>0.958333333333333</v>
      </c>
    </row>
    <row r="140" ht="16.5" customHeight="1" spans="4:13">
      <c r="D140" s="37"/>
      <c r="K140" s="37"/>
      <c r="M140" s="1">
        <v>0.965277777777778</v>
      </c>
    </row>
    <row r="141" ht="16.5" customHeight="1" spans="4:13">
      <c r="D141" s="37"/>
      <c r="K141" s="37"/>
      <c r="M141" s="1">
        <v>0.972222222222222</v>
      </c>
    </row>
    <row r="142" ht="16.5" customHeight="1" spans="4:13">
      <c r="D142" s="37"/>
      <c r="K142" s="37"/>
      <c r="M142" s="1">
        <v>0.979166666666667</v>
      </c>
    </row>
    <row r="143" ht="16.5" customHeight="1" spans="4:13">
      <c r="D143" s="37"/>
      <c r="K143" s="37"/>
      <c r="M143" s="1">
        <v>0.986111111111111</v>
      </c>
    </row>
    <row r="144" ht="16.5" customHeight="1" spans="4:13">
      <c r="D144" s="37"/>
      <c r="K144" s="37"/>
      <c r="M144" s="1">
        <v>0.993055555555556</v>
      </c>
    </row>
    <row r="145" ht="16.5" customHeight="1" spans="4:11">
      <c r="D145" s="37"/>
      <c r="K145" s="37"/>
    </row>
    <row r="146" ht="16.5" customHeight="1" spans="4:11">
      <c r="D146" s="37"/>
      <c r="K146" s="37"/>
    </row>
    <row r="147" ht="16.5" customHeight="1" spans="4:11">
      <c r="D147" s="37"/>
      <c r="K147" s="37"/>
    </row>
    <row r="148" ht="16.5" customHeight="1" spans="4:11">
      <c r="D148" s="37"/>
      <c r="K148" s="37"/>
    </row>
    <row r="149" ht="16.5" customHeight="1" spans="4:11">
      <c r="D149" s="37"/>
      <c r="K149" s="37"/>
    </row>
    <row r="150" ht="16.5" customHeight="1" spans="4:11">
      <c r="D150" s="37"/>
      <c r="K150" s="37"/>
    </row>
    <row r="151" ht="16.5" customHeight="1" spans="4:11">
      <c r="D151" s="37"/>
      <c r="K151" s="37"/>
    </row>
    <row r="152" ht="16.5" customHeight="1" spans="4:11">
      <c r="D152" s="37"/>
      <c r="K152" s="37"/>
    </row>
    <row r="153" ht="16.5" customHeight="1" spans="4:11">
      <c r="D153" s="37"/>
      <c r="K153" s="37"/>
    </row>
    <row r="154" ht="16.5" customHeight="1" spans="4:11">
      <c r="D154" s="37"/>
      <c r="K154" s="37"/>
    </row>
    <row r="155" ht="16.5" customHeight="1" spans="4:11">
      <c r="D155" s="37"/>
      <c r="K155" s="37"/>
    </row>
    <row r="156" ht="16.5" customHeight="1" spans="4:11">
      <c r="D156" s="37"/>
      <c r="K156" s="37"/>
    </row>
    <row r="157" ht="16.5" customHeight="1" spans="4:11">
      <c r="D157" s="37"/>
      <c r="K157" s="37"/>
    </row>
    <row r="158" ht="16.5" customHeight="1" spans="4:11">
      <c r="D158" s="37"/>
      <c r="K158" s="37"/>
    </row>
    <row r="159" ht="16.5" customHeight="1" spans="4:11">
      <c r="D159" s="37"/>
      <c r="K159" s="37"/>
    </row>
    <row r="160" ht="16.5" customHeight="1" spans="4:11">
      <c r="D160" s="37"/>
      <c r="K160" s="37"/>
    </row>
    <row r="161" ht="16.5" customHeight="1" spans="4:11">
      <c r="D161" s="37"/>
      <c r="K161" s="37"/>
    </row>
    <row r="162" ht="16.5" customHeight="1" spans="4:11">
      <c r="D162" s="37"/>
      <c r="K162" s="37"/>
    </row>
    <row r="163" ht="16.5" customHeight="1" spans="4:11">
      <c r="D163" s="37"/>
      <c r="K163" s="37"/>
    </row>
    <row r="164" ht="16.5" customHeight="1" spans="4:11">
      <c r="D164" s="37"/>
      <c r="K164" s="37"/>
    </row>
    <row r="165" ht="16.5" customHeight="1" spans="4:11">
      <c r="D165" s="37"/>
      <c r="K165" s="37"/>
    </row>
    <row r="166" ht="16.5" customHeight="1" spans="4:11">
      <c r="D166" s="37"/>
      <c r="K166" s="37"/>
    </row>
    <row r="167" ht="16.5" customHeight="1" spans="4:11">
      <c r="D167" s="37"/>
      <c r="K167" s="37"/>
    </row>
    <row r="168" ht="16.5" customHeight="1" spans="4:11">
      <c r="D168" s="37"/>
      <c r="K168" s="37"/>
    </row>
    <row r="169" ht="16.5" customHeight="1" spans="4:11">
      <c r="D169" s="37"/>
      <c r="K169" s="37"/>
    </row>
    <row r="170" ht="16.5" customHeight="1" spans="4:11">
      <c r="D170" s="37"/>
      <c r="K170" s="37"/>
    </row>
    <row r="171" ht="16.5" customHeight="1" spans="4:11">
      <c r="D171" s="37"/>
      <c r="K171" s="37"/>
    </row>
    <row r="172" ht="16.5" customHeight="1" spans="4:11">
      <c r="D172" s="37"/>
      <c r="K172" s="37"/>
    </row>
    <row r="173" ht="16.5" customHeight="1" spans="4:11">
      <c r="D173" s="37"/>
      <c r="K173" s="37"/>
    </row>
    <row r="174" ht="16.5" customHeight="1" spans="4:11">
      <c r="D174" s="37"/>
      <c r="K174" s="37"/>
    </row>
    <row r="175" ht="16.5" customHeight="1" spans="4:11">
      <c r="D175" s="37"/>
      <c r="K175" s="37"/>
    </row>
    <row r="176" ht="16.5" customHeight="1" spans="4:11">
      <c r="D176" s="37"/>
      <c r="K176" s="37"/>
    </row>
    <row r="177" ht="16.5" customHeight="1" spans="4:11">
      <c r="D177" s="37"/>
      <c r="K177" s="37"/>
    </row>
    <row r="178" ht="16.5" customHeight="1" spans="4:11">
      <c r="D178" s="37"/>
      <c r="K178" s="37"/>
    </row>
    <row r="179" ht="16.5" customHeight="1" spans="4:11">
      <c r="D179" s="37"/>
      <c r="K179" s="37"/>
    </row>
    <row r="180" ht="16.5" customHeight="1" spans="4:11">
      <c r="D180" s="37"/>
      <c r="K180" s="37"/>
    </row>
    <row r="181" ht="16.5" customHeight="1" spans="4:11">
      <c r="D181" s="37"/>
      <c r="K181" s="37"/>
    </row>
    <row r="182" ht="16.5" customHeight="1" spans="4:11">
      <c r="D182" s="37"/>
      <c r="K182" s="37"/>
    </row>
    <row r="183" ht="16.5" customHeight="1" spans="4:11">
      <c r="D183" s="37"/>
      <c r="K183" s="37"/>
    </row>
    <row r="184" ht="16.5" customHeight="1" spans="4:11">
      <c r="D184" s="37"/>
      <c r="K184" s="37"/>
    </row>
    <row r="185" ht="16.5" customHeight="1" spans="4:11">
      <c r="D185" s="37"/>
      <c r="K185" s="37"/>
    </row>
    <row r="186" ht="16.5" customHeight="1" spans="4:11">
      <c r="D186" s="37"/>
      <c r="K186" s="37"/>
    </row>
    <row r="187" ht="16.5" customHeight="1" spans="4:11">
      <c r="D187" s="37"/>
      <c r="K187" s="37"/>
    </row>
    <row r="188" ht="16.5" customHeight="1" spans="4:11">
      <c r="D188" s="37"/>
      <c r="K188" s="37"/>
    </row>
    <row r="189" ht="16.5" customHeight="1" spans="4:11">
      <c r="D189" s="37"/>
      <c r="K189" s="37"/>
    </row>
    <row r="190" ht="16.5" customHeight="1" spans="4:11">
      <c r="D190" s="37"/>
      <c r="K190" s="37"/>
    </row>
    <row r="191" ht="16.5" customHeight="1" spans="4:11">
      <c r="D191" s="37"/>
      <c r="K191" s="37"/>
    </row>
    <row r="192" ht="16.5" customHeight="1" spans="4:11">
      <c r="D192" s="37"/>
      <c r="K192" s="37"/>
    </row>
    <row r="193" ht="16.5" customHeight="1" spans="4:11">
      <c r="D193" s="37"/>
      <c r="K193" s="37"/>
    </row>
    <row r="194" ht="16.5" customHeight="1" spans="4:11">
      <c r="D194" s="37"/>
      <c r="K194" s="37"/>
    </row>
    <row r="195" ht="16.5" customHeight="1" spans="4:11">
      <c r="D195" s="37"/>
      <c r="K195" s="37"/>
    </row>
    <row r="196" ht="16.5" customHeight="1" spans="4:11">
      <c r="D196" s="37"/>
      <c r="K196" s="37"/>
    </row>
    <row r="197" ht="16.5" customHeight="1" spans="4:11">
      <c r="D197" s="37"/>
      <c r="K197" s="37"/>
    </row>
    <row r="198" ht="16.5" customHeight="1" spans="4:11">
      <c r="D198" s="37"/>
      <c r="K198" s="37"/>
    </row>
    <row r="199" ht="16.5" customHeight="1" spans="4:11">
      <c r="D199" s="37"/>
      <c r="K199" s="37"/>
    </row>
    <row r="200" ht="16.5" customHeight="1" spans="4:11">
      <c r="D200" s="37"/>
      <c r="K200" s="37"/>
    </row>
  </sheetData>
  <autoFilter xmlns:etc="http://www.wps.cn/officeDocument/2017/etCustomData" ref="A4:K39" etc:filterBottomFollowUsedRange="0">
    <extLst/>
  </autoFilter>
  <mergeCells count="7">
    <mergeCell ref="A1:L1"/>
    <mergeCell ref="A3:L3"/>
    <mergeCell ref="A5:L5"/>
    <mergeCell ref="A10:L10"/>
    <mergeCell ref="A22:L22"/>
    <mergeCell ref="A33:L33"/>
    <mergeCell ref="A35:L35"/>
  </mergeCells>
  <conditionalFormatting sqref="D6:D200">
    <cfRule type="cellIs" dxfId="6" priority="1" stopIfTrue="1" operator="equal">
      <formula>"交通"</formula>
    </cfRule>
    <cfRule type="cellIs" dxfId="5" priority="2" stopIfTrue="1" operator="equal">
      <formula>"住宿"</formula>
    </cfRule>
    <cfRule type="cellIs" dxfId="4" priority="3" stopIfTrue="1" operator="equal">
      <formula>"游览"</formula>
    </cfRule>
    <cfRule type="cellIs" dxfId="3" priority="4" stopIfTrue="1" operator="equal">
      <formula>"餐饮"</formula>
    </cfRule>
    <cfRule type="cellIs" dxfId="2" priority="5" stopIfTrue="1" operator="equal">
      <formula>"日常"</formula>
    </cfRule>
    <cfRule type="cellIs" dxfId="1" priority="6" stopIfTrue="1" operator="equal">
      <formula>"购物"</formula>
    </cfRule>
    <cfRule type="cellIs" dxfId="0" priority="7" stopIfTrue="1" operator="equal">
      <formula>"其他"</formula>
    </cfRule>
  </conditionalFormatting>
  <conditionalFormatting sqref="K6:K200">
    <cfRule type="cellIs" dxfId="8" priority="8" stopIfTrue="1" operator="equal">
      <formula>"待购买"</formula>
    </cfRule>
    <cfRule type="cellIs" dxfId="8" priority="9" stopIfTrue="1" operator="equal">
      <formula>"待预约"</formula>
    </cfRule>
    <cfRule type="cellIs" dxfId="4" priority="10" stopIfTrue="1" operator="equal">
      <formula>"已购买"</formula>
    </cfRule>
    <cfRule type="cellIs" dxfId="4" priority="11" stopIfTrue="1" operator="equal">
      <formula>"已预约"</formula>
    </cfRule>
    <cfRule type="cellIs" dxfId="4" priority="12" stopIfTrue="1" operator="equal">
      <formula>"已完成"</formula>
    </cfRule>
    <cfRule type="cellIs" dxfId="7" priority="13" stopIfTrue="1" operator="equal">
      <formula>"无需预订"</formula>
    </cfRule>
    <cfRule type="cellIs" dxfId="2" priority="14" stopIfTrue="1" operator="equal">
      <formula>"已取消"</formula>
    </cfRule>
  </conditionalFormatting>
  <dataValidations count="3">
    <dataValidation type="list" allowBlank="1" sqref="D5:D39">
      <formula1>"交通,住宿,游览,餐饮,日常,购物,其他"</formula1>
    </dataValidation>
    <dataValidation type="list" allowBlank="1" sqref="K5:K39">
      <formula1>"无需预订,待购买,待预约,已购买,已预约,已完成,已取消"</formula1>
    </dataValidation>
    <dataValidation type="list" allowBlank="1" showInputMessage="1" promptTitle="选择时间" prompt="可从列表选择 10 分钟间隔时间，也可直接输入精确时间。" sqref="B6:C200">
      <formula1>$M$1:$M$144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6"/>
  <sheetViews>
    <sheetView workbookViewId="0">
      <selection activeCell="A1" sqref="A1"/>
    </sheetView>
  </sheetViews>
  <sheetFormatPr defaultColWidth="9" defaultRowHeight="14.25"/>
  <cols>
    <col min="1" max="2" width="5.375" customWidth="1"/>
    <col min="3" max="3" width="8" customWidth="1"/>
    <col min="4" max="4" width="23.5" customWidth="1"/>
    <col min="5" max="5" width="7.625" customWidth="1"/>
    <col min="6" max="6" width="4.75" customWidth="1"/>
    <col min="7" max="7" width="8.875" customWidth="1"/>
    <col min="8" max="8" width="18" customWidth="1"/>
  </cols>
  <sheetData>
    <row r="1" ht="18" customHeight="1" spans="1:31">
      <c r="A1" s="2" t="s">
        <v>7</v>
      </c>
      <c r="B1" s="3" t="s">
        <v>8</v>
      </c>
      <c r="C1" s="3" t="s">
        <v>10</v>
      </c>
      <c r="D1" s="3" t="s">
        <v>137</v>
      </c>
      <c r="E1" s="3" t="s">
        <v>12</v>
      </c>
      <c r="F1" s="3" t="s">
        <v>13</v>
      </c>
      <c r="G1" s="3" t="s">
        <v>14</v>
      </c>
      <c r="H1" s="3" t="s">
        <v>138</v>
      </c>
      <c r="I1" s="3" t="s">
        <v>139</v>
      </c>
      <c r="J1" s="4" t="s">
        <v>140</v>
      </c>
      <c r="K1" s="5">
        <v>5132.001</v>
      </c>
      <c r="L1" s="11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ht="18" customHeight="1" spans="1:31">
      <c r="A2" s="6" t="s">
        <v>180</v>
      </c>
      <c r="J2" s="12"/>
      <c r="K2" s="12"/>
      <c r="L2" s="13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</row>
    <row r="3" spans="1:31">
      <c r="A3" s="8">
        <v>0.291666666666667</v>
      </c>
      <c r="B3" s="8">
        <v>0.322916666666667</v>
      </c>
      <c r="C3" s="7" t="s">
        <v>20</v>
      </c>
      <c r="D3" s="7"/>
      <c r="E3" s="7"/>
      <c r="F3" s="7"/>
      <c r="G3" s="9">
        <v>0</v>
      </c>
      <c r="H3" s="10"/>
      <c r="I3" s="7" t="s">
        <v>143</v>
      </c>
      <c r="J3" s="12"/>
      <c r="K3" s="12"/>
      <c r="L3" s="13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spans="1:31">
      <c r="A4" s="8">
        <v>0.326388888888889</v>
      </c>
      <c r="B4" s="8">
        <v>0.34375</v>
      </c>
      <c r="C4" s="7" t="s">
        <v>23</v>
      </c>
      <c r="D4" s="7" t="s">
        <v>181</v>
      </c>
      <c r="E4" s="7">
        <v>40</v>
      </c>
      <c r="F4" s="7">
        <v>1</v>
      </c>
      <c r="G4" s="9">
        <v>40</v>
      </c>
      <c r="H4" s="10"/>
      <c r="I4" s="7" t="s">
        <v>143</v>
      </c>
      <c r="J4" s="12"/>
      <c r="K4" s="12"/>
      <c r="L4" s="13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">
      <c r="A5" s="8">
        <v>0.36875</v>
      </c>
      <c r="B5" s="8">
        <v>0.64375</v>
      </c>
      <c r="C5" s="7" t="s">
        <v>26</v>
      </c>
      <c r="D5" s="7" t="s">
        <v>182</v>
      </c>
      <c r="E5" s="7">
        <v>516</v>
      </c>
      <c r="F5" s="7">
        <v>2</v>
      </c>
      <c r="G5" s="9">
        <v>1032</v>
      </c>
      <c r="H5" s="10" t="s">
        <v>183</v>
      </c>
      <c r="I5" s="7" t="s">
        <v>143</v>
      </c>
      <c r="J5" s="12"/>
      <c r="K5" s="12"/>
      <c r="L5" s="1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spans="1:31">
      <c r="A6" s="8">
        <v>0.652777777777778</v>
      </c>
      <c r="B6" s="8">
        <v>0.673611111111111</v>
      </c>
      <c r="C6" s="7" t="s">
        <v>33</v>
      </c>
      <c r="D6" s="7" t="s">
        <v>184</v>
      </c>
      <c r="E6" s="7">
        <v>4</v>
      </c>
      <c r="F6" s="7">
        <v>2</v>
      </c>
      <c r="G6" s="9">
        <v>8</v>
      </c>
      <c r="H6" s="10"/>
      <c r="I6" s="7" t="s">
        <v>143</v>
      </c>
      <c r="J6" s="12"/>
      <c r="K6" s="12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spans="1:31">
      <c r="A7" s="8">
        <v>0.680555555555556</v>
      </c>
      <c r="B7" s="8">
        <v>0.708333333333333</v>
      </c>
      <c r="C7" s="7" t="s">
        <v>185</v>
      </c>
      <c r="D7" s="7" t="s">
        <v>186</v>
      </c>
      <c r="E7" s="7">
        <v>778</v>
      </c>
      <c r="F7" s="7">
        <v>3</v>
      </c>
      <c r="G7" s="9">
        <v>2334</v>
      </c>
      <c r="H7" s="10" t="s">
        <v>187</v>
      </c>
      <c r="I7" s="7" t="s">
        <v>145</v>
      </c>
      <c r="J7" s="12"/>
      <c r="K7" s="12"/>
      <c r="L7" s="13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spans="1:31">
      <c r="A8" s="8"/>
      <c r="B8" s="8"/>
      <c r="C8" s="7"/>
      <c r="D8" s="7"/>
      <c r="E8" s="7"/>
      <c r="F8" s="7">
        <v>2</v>
      </c>
      <c r="G8" s="9">
        <v>0</v>
      </c>
      <c r="H8" s="10"/>
      <c r="I8" s="7" t="s">
        <v>143</v>
      </c>
      <c r="J8" s="12"/>
      <c r="K8" s="12"/>
      <c r="L8" s="13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spans="1:31">
      <c r="A9" s="8"/>
      <c r="B9" s="8"/>
      <c r="C9" s="7"/>
      <c r="D9" s="7"/>
      <c r="E9" s="7"/>
      <c r="F9" s="7">
        <v>2</v>
      </c>
      <c r="G9" s="9">
        <v>0</v>
      </c>
      <c r="H9" s="10"/>
      <c r="I9" s="7" t="s">
        <v>143</v>
      </c>
      <c r="J9" s="12"/>
      <c r="K9" s="12"/>
      <c r="L9" s="13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spans="1:31">
      <c r="A10" s="8"/>
      <c r="B10" s="8"/>
      <c r="C10" s="7"/>
      <c r="D10" s="7"/>
      <c r="E10" s="7"/>
      <c r="F10" s="7">
        <v>2</v>
      </c>
      <c r="G10" s="9">
        <v>0</v>
      </c>
      <c r="H10" s="10"/>
      <c r="I10" s="7" t="s">
        <v>143</v>
      </c>
      <c r="J10" s="12"/>
      <c r="K10" s="12"/>
      <c r="L10" s="13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1:31">
      <c r="A11" s="8"/>
      <c r="B11" s="8"/>
      <c r="C11" s="7"/>
      <c r="D11" s="7"/>
      <c r="E11" s="7"/>
      <c r="F11" s="7">
        <v>2</v>
      </c>
      <c r="G11" s="9">
        <v>0</v>
      </c>
      <c r="H11" s="7"/>
      <c r="I11" s="7" t="s">
        <v>143</v>
      </c>
      <c r="J11" s="12"/>
      <c r="K11" s="12"/>
      <c r="L11" s="1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>
      <c r="A12" s="8"/>
      <c r="B12" s="8"/>
      <c r="C12" s="7"/>
      <c r="D12" s="7"/>
      <c r="E12" s="7"/>
      <c r="F12" s="7"/>
      <c r="G12" s="9">
        <v>0</v>
      </c>
      <c r="H12" s="7"/>
      <c r="I12" s="7" t="s">
        <v>143</v>
      </c>
      <c r="J12" s="12"/>
      <c r="K12" s="12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8" customHeight="1" spans="1:31">
      <c r="A13" s="6" t="s">
        <v>188</v>
      </c>
      <c r="J13" s="12"/>
      <c r="K13" s="12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>
      <c r="A14" s="8"/>
      <c r="B14" s="8"/>
      <c r="C14" s="7"/>
      <c r="D14" s="7"/>
      <c r="E14" s="7"/>
      <c r="F14" s="7"/>
      <c r="G14" s="9">
        <v>0</v>
      </c>
      <c r="H14" s="7"/>
      <c r="I14" s="7" t="s">
        <v>143</v>
      </c>
      <c r="J14" s="12"/>
      <c r="K14" s="12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spans="1:31">
      <c r="A15" s="8"/>
      <c r="B15" s="8"/>
      <c r="C15" s="7"/>
      <c r="D15" s="7"/>
      <c r="E15" s="7"/>
      <c r="F15" s="7"/>
      <c r="G15" s="9"/>
      <c r="H15" s="7"/>
      <c r="I15" s="7" t="s">
        <v>143</v>
      </c>
      <c r="J15" s="12"/>
      <c r="K15" s="12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1:31">
      <c r="A16" s="8"/>
      <c r="B16" s="8"/>
      <c r="C16" s="7"/>
      <c r="D16" s="7"/>
      <c r="E16" s="7"/>
      <c r="F16" s="7"/>
      <c r="G16" s="9"/>
      <c r="H16" s="7"/>
      <c r="I16" s="7" t="s">
        <v>143</v>
      </c>
      <c r="J16" s="12"/>
      <c r="K16" s="12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1:31">
      <c r="A17" s="8"/>
      <c r="B17" s="8"/>
      <c r="C17" s="7"/>
      <c r="D17" s="7"/>
      <c r="E17" s="7"/>
      <c r="F17" s="7"/>
      <c r="G17" s="9"/>
      <c r="H17" s="7"/>
      <c r="I17" s="7" t="s">
        <v>143</v>
      </c>
      <c r="J17" s="12"/>
      <c r="K17" s="12"/>
      <c r="L17" s="13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1:31">
      <c r="A18" s="8"/>
      <c r="B18" s="8"/>
      <c r="C18" s="7"/>
      <c r="D18" s="7"/>
      <c r="E18" s="7"/>
      <c r="F18" s="7"/>
      <c r="G18" s="9"/>
      <c r="H18" s="7"/>
      <c r="I18" s="7" t="s">
        <v>143</v>
      </c>
      <c r="J18" s="12"/>
      <c r="K18" s="12"/>
      <c r="L18" s="13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spans="1:31">
      <c r="A19" s="8"/>
      <c r="B19" s="8"/>
      <c r="C19" s="7"/>
      <c r="D19" s="7"/>
      <c r="E19" s="7"/>
      <c r="F19" s="7"/>
      <c r="G19" s="9"/>
      <c r="H19" s="7"/>
      <c r="I19" s="7" t="s">
        <v>143</v>
      </c>
      <c r="J19" s="12"/>
      <c r="K19" s="12"/>
      <c r="L19" s="13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spans="1:31">
      <c r="A20" s="8"/>
      <c r="B20" s="8"/>
      <c r="C20" s="7"/>
      <c r="D20" s="7"/>
      <c r="E20" s="7"/>
      <c r="F20" s="7"/>
      <c r="G20" s="9"/>
      <c r="H20" s="7"/>
      <c r="I20" s="7" t="s">
        <v>143</v>
      </c>
      <c r="J20" s="12"/>
      <c r="K20" s="12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spans="1:31">
      <c r="A21" s="8"/>
      <c r="B21" s="8"/>
      <c r="C21" s="7"/>
      <c r="D21" s="7"/>
      <c r="E21" s="7"/>
      <c r="F21" s="7"/>
      <c r="G21" s="9"/>
      <c r="H21" s="7"/>
      <c r="I21" s="7" t="s">
        <v>143</v>
      </c>
      <c r="J21" s="12"/>
      <c r="K21" s="12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spans="1:31">
      <c r="A22" s="8"/>
      <c r="B22" s="8"/>
      <c r="C22" s="7"/>
      <c r="D22" s="7"/>
      <c r="E22" s="7"/>
      <c r="F22" s="7"/>
      <c r="G22" s="9"/>
      <c r="H22" s="7"/>
      <c r="I22" s="7" t="s">
        <v>143</v>
      </c>
      <c r="J22" s="12"/>
      <c r="K22" s="12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spans="1:31">
      <c r="A23" s="8"/>
      <c r="B23" s="8"/>
      <c r="C23" s="7"/>
      <c r="D23" s="7"/>
      <c r="E23" s="7"/>
      <c r="F23" s="7"/>
      <c r="G23" s="9">
        <v>0</v>
      </c>
      <c r="H23" s="7"/>
      <c r="I23" s="7" t="s">
        <v>143</v>
      </c>
      <c r="J23" s="12"/>
      <c r="K23" s="12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8" customHeight="1" spans="1:31">
      <c r="A24" s="6" t="s">
        <v>189</v>
      </c>
      <c r="J24" s="12"/>
      <c r="K24" s="12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spans="1:31">
      <c r="A25" s="12"/>
      <c r="B25" s="12"/>
      <c r="C25" s="12"/>
      <c r="D25" s="12"/>
      <c r="E25" s="12"/>
      <c r="F25" s="12"/>
      <c r="G25" s="9"/>
      <c r="H25" s="12"/>
      <c r="I25" s="7" t="s">
        <v>143</v>
      </c>
      <c r="J25" s="12"/>
      <c r="K25" s="12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spans="1:31">
      <c r="A26" s="12"/>
      <c r="B26" s="12"/>
      <c r="C26" s="12" t="s">
        <v>185</v>
      </c>
      <c r="D26" s="12"/>
      <c r="E26" s="12">
        <v>572.667</v>
      </c>
      <c r="F26" s="12">
        <v>3</v>
      </c>
      <c r="G26" s="9">
        <v>1718</v>
      </c>
      <c r="H26" s="12"/>
      <c r="I26" s="7" t="s">
        <v>143</v>
      </c>
      <c r="J26" s="12"/>
      <c r="K26" s="12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spans="1:31">
      <c r="A27" s="8"/>
      <c r="B27" s="8"/>
      <c r="C27" s="7"/>
      <c r="D27" s="7"/>
      <c r="E27" s="7"/>
      <c r="F27" s="7"/>
      <c r="G27" s="9">
        <v>0</v>
      </c>
      <c r="H27" s="7"/>
      <c r="I27" s="7" t="s">
        <v>143</v>
      </c>
      <c r="J27" s="12"/>
      <c r="K27" s="12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8" customHeight="1" spans="1:31">
      <c r="A28" s="6" t="s">
        <v>190</v>
      </c>
      <c r="J28" s="12"/>
      <c r="K28" s="12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spans="1:31">
      <c r="A29" s="8"/>
      <c r="B29" s="8"/>
      <c r="C29" s="7"/>
      <c r="D29" s="7"/>
      <c r="E29" s="7"/>
      <c r="F29" s="7"/>
      <c r="G29" s="9">
        <v>0</v>
      </c>
      <c r="H29" s="7"/>
      <c r="I29" s="7" t="s">
        <v>143</v>
      </c>
      <c r="J29" s="12"/>
      <c r="K29" s="12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8" customHeight="1" spans="1:31">
      <c r="A30" s="6" t="s">
        <v>191</v>
      </c>
      <c r="J30" s="12"/>
      <c r="K30" s="12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spans="1:31">
      <c r="A31" s="8"/>
      <c r="B31" s="8"/>
      <c r="C31" s="7"/>
      <c r="D31" s="7"/>
      <c r="E31" s="7"/>
      <c r="F31" s="7"/>
      <c r="G31" s="9">
        <v>0</v>
      </c>
      <c r="H31" s="7"/>
      <c r="I31" s="7" t="s">
        <v>143</v>
      </c>
      <c r="J31" s="12"/>
      <c r="K31" s="12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8" customHeight="1" spans="1:31">
      <c r="A32" s="6" t="s">
        <v>192</v>
      </c>
      <c r="J32" s="12"/>
      <c r="K32" s="12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spans="1:31">
      <c r="A33" s="8"/>
      <c r="B33" s="8"/>
      <c r="C33" s="7"/>
      <c r="D33" s="7"/>
      <c r="E33" s="7"/>
      <c r="F33" s="7"/>
      <c r="G33" s="9">
        <v>0</v>
      </c>
      <c r="H33" s="7"/>
      <c r="I33" s="7" t="s">
        <v>143</v>
      </c>
      <c r="J33" s="12"/>
      <c r="K33" s="12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spans="1:3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spans="1:3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spans="1:3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spans="1:3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spans="1:3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spans="1:3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spans="1:3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spans="1:3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spans="1:3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spans="1:3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spans="1:3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spans="1:3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spans="1:3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spans="1:3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spans="1:3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spans="1:3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3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spans="1:3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3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spans="1:3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3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spans="1:3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3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spans="1:3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spans="1:3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spans="1:3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spans="1:3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spans="1:3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spans="1:3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spans="1:3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spans="1:3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spans="1:3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spans="1:3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spans="1:3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3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spans="1:3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3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spans="1:3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3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spans="1:3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3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spans="1:3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3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spans="1:3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3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spans="1:3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3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spans="1:3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3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spans="1:3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3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spans="1:3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3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spans="1:3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3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spans="1:3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3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spans="1:3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3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spans="1:3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spans="1:3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3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spans="1:3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3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spans="1:3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3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spans="1:3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3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spans="1:3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3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spans="1:3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3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spans="1:3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3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spans="1:3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3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spans="1:3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3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spans="1:3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3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spans="1:3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3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spans="1:3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3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spans="1:3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3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spans="1:3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3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spans="1:3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3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spans="1:3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3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spans="1:3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3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spans="1:3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3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spans="1:3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3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1:3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3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spans="1:3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3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spans="1:3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3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spans="1:3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3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spans="1:3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3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spans="1:3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3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3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3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3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3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3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3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3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3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3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3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3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3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3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3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3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3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3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3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3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3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3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3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3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3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3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3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3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3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3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3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3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3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3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3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3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3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3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3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3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3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3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3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3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3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3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3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3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3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3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3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3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3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3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3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3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3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3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3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3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3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3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3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3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3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3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3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3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3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3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3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3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3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3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3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3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3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3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3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3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3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3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3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3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3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3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3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3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3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3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3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3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3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3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3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3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3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3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3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3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3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3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3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3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3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3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</sheetData>
  <mergeCells count="6">
    <mergeCell ref="A2:I2"/>
    <mergeCell ref="A13:I13"/>
    <mergeCell ref="A24:I24"/>
    <mergeCell ref="A28:I28"/>
    <mergeCell ref="A30:I30"/>
    <mergeCell ref="A32:I3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workbookViewId="0">
      <selection activeCell="A1" sqref="A1"/>
    </sheetView>
  </sheetViews>
  <sheetFormatPr defaultColWidth="9" defaultRowHeight="14.25"/>
  <cols>
    <col min="1" max="2" width="5.375" customWidth="1"/>
    <col min="3" max="3" width="9.625" customWidth="1"/>
    <col min="4" max="4" width="34.25" customWidth="1"/>
    <col min="5" max="5" width="6.75" customWidth="1"/>
    <col min="6" max="6" width="4.75" customWidth="1"/>
    <col min="7" max="7" width="7.625" customWidth="1"/>
    <col min="8" max="8" width="8" customWidth="1"/>
    <col min="9" max="9" width="4.75" customWidth="1"/>
    <col min="10" max="10" width="8.875" customWidth="1"/>
    <col min="11" max="11" width="10.5" customWidth="1"/>
  </cols>
  <sheetData>
    <row r="1" ht="18" customHeight="1" spans="1:11">
      <c r="A1" s="2" t="s">
        <v>7</v>
      </c>
      <c r="B1" s="3" t="s">
        <v>8</v>
      </c>
      <c r="C1" s="3" t="s">
        <v>10</v>
      </c>
      <c r="D1" s="3" t="s">
        <v>137</v>
      </c>
      <c r="E1" s="3" t="s">
        <v>12</v>
      </c>
      <c r="F1" s="3" t="s">
        <v>13</v>
      </c>
      <c r="G1" s="3" t="s">
        <v>14</v>
      </c>
      <c r="H1" s="3" t="s">
        <v>138</v>
      </c>
      <c r="I1" s="3" t="s">
        <v>139</v>
      </c>
      <c r="J1" s="4" t="s">
        <v>140</v>
      </c>
      <c r="K1" s="5">
        <v>2801.39</v>
      </c>
    </row>
    <row r="2" ht="18" customHeight="1" spans="1:11">
      <c r="A2" s="6" t="s">
        <v>193</v>
      </c>
      <c r="J2" s="7"/>
      <c r="K2" s="7"/>
    </row>
    <row r="3" spans="1:11">
      <c r="A3" s="8">
        <v>0.246527777777778</v>
      </c>
      <c r="B3" s="8">
        <v>0.274305555555556</v>
      </c>
      <c r="C3" s="7" t="s">
        <v>20</v>
      </c>
      <c r="D3" s="7"/>
      <c r="E3" s="7"/>
      <c r="F3" s="7"/>
      <c r="G3" s="9">
        <v>0</v>
      </c>
      <c r="H3" s="10"/>
      <c r="I3" s="7" t="s">
        <v>143</v>
      </c>
      <c r="J3" s="7"/>
      <c r="K3" s="7"/>
    </row>
    <row r="4" spans="1:11">
      <c r="A4" s="8">
        <v>0.277777777777778</v>
      </c>
      <c r="B4" s="8">
        <v>0.302083333333333</v>
      </c>
      <c r="C4" s="7" t="s">
        <v>23</v>
      </c>
      <c r="D4" s="7" t="s">
        <v>181</v>
      </c>
      <c r="E4" s="7">
        <v>25</v>
      </c>
      <c r="F4" s="7">
        <v>1</v>
      </c>
      <c r="G4" s="9">
        <v>25</v>
      </c>
      <c r="H4" s="10"/>
      <c r="I4" s="7" t="s">
        <v>143</v>
      </c>
      <c r="J4" s="7"/>
      <c r="K4" s="7"/>
    </row>
    <row r="5" spans="1:11">
      <c r="A5" s="8">
        <v>0.315972222222222</v>
      </c>
      <c r="B5" s="8">
        <v>0.454166666666667</v>
      </c>
      <c r="C5" s="7" t="s">
        <v>26</v>
      </c>
      <c r="D5" s="7" t="s">
        <v>194</v>
      </c>
      <c r="E5" s="7">
        <v>398</v>
      </c>
      <c r="F5" s="7">
        <v>2</v>
      </c>
      <c r="G5" s="9">
        <v>796</v>
      </c>
      <c r="H5" s="10" t="s">
        <v>187</v>
      </c>
      <c r="I5" s="7" t="s">
        <v>145</v>
      </c>
      <c r="J5" s="7"/>
      <c r="K5" s="7"/>
    </row>
    <row r="6" spans="1:11">
      <c r="A6" s="8">
        <v>0.465277777777778</v>
      </c>
      <c r="B6" s="8">
        <v>0.482638888888889</v>
      </c>
      <c r="C6" s="7" t="s">
        <v>23</v>
      </c>
      <c r="D6" s="7"/>
      <c r="E6" s="7">
        <v>30</v>
      </c>
      <c r="F6" s="7">
        <v>1</v>
      </c>
      <c r="G6" s="9">
        <v>30</v>
      </c>
      <c r="H6" s="10"/>
      <c r="I6" s="7" t="s">
        <v>143</v>
      </c>
      <c r="J6" s="7"/>
      <c r="K6" s="7"/>
    </row>
    <row r="7" spans="1:11">
      <c r="A7" s="8">
        <v>0.486111111111111</v>
      </c>
      <c r="B7" s="8">
        <v>0.5</v>
      </c>
      <c r="C7" s="7" t="s">
        <v>185</v>
      </c>
      <c r="D7" s="7" t="s">
        <v>195</v>
      </c>
      <c r="E7" s="7">
        <v>261.18</v>
      </c>
      <c r="F7" s="7">
        <v>2</v>
      </c>
      <c r="G7" s="9">
        <v>522.36</v>
      </c>
      <c r="H7" s="10" t="s">
        <v>187</v>
      </c>
      <c r="I7" s="7" t="s">
        <v>145</v>
      </c>
      <c r="J7" s="7"/>
      <c r="K7" s="7"/>
    </row>
    <row r="8" spans="1:11">
      <c r="A8" s="8"/>
      <c r="B8" s="8"/>
      <c r="C8" s="7"/>
      <c r="D8" s="7"/>
      <c r="E8" s="7"/>
      <c r="F8" s="7">
        <v>2</v>
      </c>
      <c r="G8" s="9">
        <v>0</v>
      </c>
      <c r="H8" s="10"/>
      <c r="I8" s="7" t="s">
        <v>143</v>
      </c>
      <c r="J8" s="7"/>
      <c r="K8" s="7"/>
    </row>
    <row r="9" spans="1:11">
      <c r="A9" s="8"/>
      <c r="B9" s="8"/>
      <c r="C9" s="7"/>
      <c r="D9" s="7"/>
      <c r="E9" s="7"/>
      <c r="F9" s="7">
        <v>2</v>
      </c>
      <c r="G9" s="9">
        <v>0</v>
      </c>
      <c r="H9" s="10"/>
      <c r="I9" s="7" t="s">
        <v>143</v>
      </c>
      <c r="J9" s="7"/>
      <c r="K9" s="7"/>
    </row>
    <row r="10" spans="1:11">
      <c r="A10" s="8"/>
      <c r="B10" s="8"/>
      <c r="C10" s="7"/>
      <c r="D10" s="7"/>
      <c r="E10" s="7"/>
      <c r="F10" s="7">
        <v>2</v>
      </c>
      <c r="G10" s="9">
        <v>0</v>
      </c>
      <c r="H10" s="10"/>
      <c r="I10" s="7" t="s">
        <v>143</v>
      </c>
      <c r="J10" s="7"/>
      <c r="K10" s="7"/>
    </row>
    <row r="11" spans="1:11">
      <c r="A11" s="8"/>
      <c r="B11" s="8"/>
      <c r="C11" s="7"/>
      <c r="D11" s="7"/>
      <c r="E11" s="7"/>
      <c r="F11" s="7">
        <v>2</v>
      </c>
      <c r="G11" s="9">
        <v>0</v>
      </c>
      <c r="H11" s="7"/>
      <c r="I11" s="7" t="s">
        <v>143</v>
      </c>
      <c r="J11" s="7"/>
      <c r="K11" s="7"/>
    </row>
    <row r="12" spans="1:11">
      <c r="A12" s="8"/>
      <c r="B12" s="8"/>
      <c r="C12" s="7"/>
      <c r="D12" s="7"/>
      <c r="E12" s="7"/>
      <c r="F12" s="7"/>
      <c r="G12" s="9">
        <v>0</v>
      </c>
      <c r="H12" s="7"/>
      <c r="I12" s="7" t="s">
        <v>143</v>
      </c>
      <c r="J12" s="7"/>
      <c r="K12" s="7"/>
    </row>
    <row r="13" ht="18" customHeight="1" spans="1:11">
      <c r="A13" s="6" t="s">
        <v>196</v>
      </c>
      <c r="J13" s="7"/>
      <c r="K13" s="7"/>
    </row>
    <row r="14" spans="1:11">
      <c r="A14" s="8"/>
      <c r="B14" s="8"/>
      <c r="C14" s="7"/>
      <c r="D14" s="7"/>
      <c r="E14" s="7"/>
      <c r="F14" s="7"/>
      <c r="G14" s="9">
        <v>0</v>
      </c>
      <c r="H14" s="7"/>
      <c r="I14" s="7" t="s">
        <v>143</v>
      </c>
      <c r="J14" s="7"/>
      <c r="K14" s="7"/>
    </row>
    <row r="15" spans="1:11">
      <c r="A15" s="8"/>
      <c r="B15" s="8"/>
      <c r="C15" s="7"/>
      <c r="D15" s="7"/>
      <c r="E15" s="7"/>
      <c r="F15" s="7"/>
      <c r="G15" s="9">
        <v>0</v>
      </c>
      <c r="H15" s="7"/>
      <c r="I15" s="7" t="s">
        <v>143</v>
      </c>
      <c r="J15" s="7"/>
      <c r="K15" s="7"/>
    </row>
    <row r="16" spans="1:11">
      <c r="A16" s="8"/>
      <c r="B16" s="8"/>
      <c r="C16" s="7"/>
      <c r="D16" s="7"/>
      <c r="E16" s="7"/>
      <c r="F16" s="7"/>
      <c r="G16" s="9">
        <v>0</v>
      </c>
      <c r="H16" s="7"/>
      <c r="I16" s="7" t="s">
        <v>143</v>
      </c>
      <c r="J16" s="7"/>
      <c r="K16" s="7"/>
    </row>
    <row r="17" ht="18" customHeight="1" spans="1:11">
      <c r="A17" s="6" t="s">
        <v>197</v>
      </c>
      <c r="J17" s="7"/>
      <c r="K17" s="7"/>
    </row>
    <row r="18" spans="1:11">
      <c r="A18" s="8"/>
      <c r="B18" s="8"/>
      <c r="C18" s="7" t="s">
        <v>20</v>
      </c>
      <c r="D18" s="7"/>
      <c r="E18" s="7"/>
      <c r="F18" s="7"/>
      <c r="G18" s="9">
        <v>0</v>
      </c>
      <c r="H18" s="7"/>
      <c r="I18" s="7" t="s">
        <v>143</v>
      </c>
      <c r="J18" s="7"/>
      <c r="K18" s="7"/>
    </row>
    <row r="19" spans="1:11">
      <c r="A19" s="8">
        <v>0.416666666666667</v>
      </c>
      <c r="B19" s="8">
        <v>0.440972222222222</v>
      </c>
      <c r="C19" s="7" t="s">
        <v>23</v>
      </c>
      <c r="D19" s="7"/>
      <c r="E19" s="7"/>
      <c r="F19" s="7"/>
      <c r="G19" s="9">
        <v>0</v>
      </c>
      <c r="H19" s="7"/>
      <c r="I19" s="7" t="s">
        <v>143</v>
      </c>
      <c r="J19" s="7"/>
      <c r="K19" s="7"/>
    </row>
    <row r="20" spans="1:11">
      <c r="A20" s="8">
        <v>0.463194444444445</v>
      </c>
      <c r="B20" s="8">
        <v>0.5625</v>
      </c>
      <c r="C20" s="7" t="s">
        <v>26</v>
      </c>
      <c r="D20" s="7" t="s">
        <v>198</v>
      </c>
      <c r="E20" s="7">
        <v>167</v>
      </c>
      <c r="F20" s="7">
        <v>2</v>
      </c>
      <c r="G20" s="9">
        <v>334</v>
      </c>
      <c r="H20" s="7"/>
      <c r="I20" s="7" t="s">
        <v>145</v>
      </c>
      <c r="J20" s="7"/>
      <c r="K20" s="7"/>
    </row>
    <row r="21" spans="1:11">
      <c r="A21" s="8"/>
      <c r="B21" s="8"/>
      <c r="C21" s="7" t="s">
        <v>23</v>
      </c>
      <c r="D21" s="7"/>
      <c r="E21" s="7">
        <v>30</v>
      </c>
      <c r="F21" s="7"/>
      <c r="G21" s="9">
        <v>0</v>
      </c>
      <c r="H21" s="7"/>
      <c r="I21" s="7" t="s">
        <v>143</v>
      </c>
      <c r="J21" s="7"/>
      <c r="K21" s="7"/>
    </row>
    <row r="22" spans="1:11">
      <c r="A22" s="8"/>
      <c r="B22" s="8"/>
      <c r="C22" s="7" t="s">
        <v>185</v>
      </c>
      <c r="D22" s="7" t="s">
        <v>199</v>
      </c>
      <c r="E22" s="7">
        <v>398.03</v>
      </c>
      <c r="F22" s="7">
        <v>1</v>
      </c>
      <c r="G22" s="9">
        <v>398.03</v>
      </c>
      <c r="H22" s="7"/>
      <c r="I22" s="7" t="s">
        <v>145</v>
      </c>
      <c r="J22" s="7"/>
      <c r="K22" s="7"/>
    </row>
    <row r="23" spans="1:11">
      <c r="A23" s="8"/>
      <c r="B23" s="8"/>
      <c r="C23" s="7" t="s">
        <v>200</v>
      </c>
      <c r="D23" s="7" t="s">
        <v>201</v>
      </c>
      <c r="E23" s="7"/>
      <c r="F23" s="7"/>
      <c r="G23" s="9">
        <v>0</v>
      </c>
      <c r="H23" s="7"/>
      <c r="I23" s="7" t="s">
        <v>143</v>
      </c>
      <c r="J23" s="7"/>
      <c r="K23" s="7"/>
    </row>
    <row r="24" spans="1:11">
      <c r="A24" s="8"/>
      <c r="B24" s="8"/>
      <c r="C24" s="7" t="s">
        <v>202</v>
      </c>
      <c r="D24" s="7" t="s">
        <v>203</v>
      </c>
      <c r="E24" s="7"/>
      <c r="F24" s="7"/>
      <c r="G24" s="9">
        <v>0</v>
      </c>
      <c r="H24" s="7"/>
      <c r="I24" s="7" t="s">
        <v>143</v>
      </c>
      <c r="J24" s="7"/>
      <c r="K24" s="7"/>
    </row>
    <row r="25" spans="1:11">
      <c r="A25" s="8"/>
      <c r="B25" s="8"/>
      <c r="C25" s="7" t="s">
        <v>204</v>
      </c>
      <c r="D25" s="7" t="s">
        <v>205</v>
      </c>
      <c r="E25" s="7"/>
      <c r="F25" s="7"/>
      <c r="G25" s="9">
        <v>0</v>
      </c>
      <c r="H25" s="7"/>
      <c r="I25" s="7" t="s">
        <v>143</v>
      </c>
      <c r="J25" s="7"/>
      <c r="K25" s="7"/>
    </row>
    <row r="26" spans="1:11">
      <c r="A26" s="8"/>
      <c r="B26" s="8"/>
      <c r="C26" s="7" t="s">
        <v>206</v>
      </c>
      <c r="D26" s="7" t="s">
        <v>207</v>
      </c>
      <c r="E26" s="7"/>
      <c r="F26" s="7"/>
      <c r="G26" s="9">
        <v>0</v>
      </c>
      <c r="H26" s="7"/>
      <c r="I26" s="7" t="s">
        <v>143</v>
      </c>
      <c r="J26" s="7"/>
      <c r="K26" s="7"/>
    </row>
    <row r="27" spans="1:11">
      <c r="A27" s="8"/>
      <c r="B27" s="8"/>
      <c r="C27" s="7" t="s">
        <v>81</v>
      </c>
      <c r="D27" s="7" t="s">
        <v>208</v>
      </c>
      <c r="E27" s="7"/>
      <c r="F27" s="7"/>
      <c r="G27" s="9">
        <v>0</v>
      </c>
      <c r="H27" s="7"/>
      <c r="I27" s="7" t="s">
        <v>143</v>
      </c>
      <c r="J27" s="7"/>
      <c r="K27" s="7"/>
    </row>
    <row r="28" ht="18" customHeight="1" spans="1:11">
      <c r="A28" s="6" t="s">
        <v>209</v>
      </c>
      <c r="J28" s="7"/>
      <c r="K28" s="7"/>
    </row>
    <row r="29" spans="1:11">
      <c r="A29" s="8"/>
      <c r="B29" s="8"/>
      <c r="C29" s="7" t="s">
        <v>48</v>
      </c>
      <c r="D29" s="7" t="s">
        <v>210</v>
      </c>
      <c r="E29" s="7"/>
      <c r="F29" s="7"/>
      <c r="G29" s="9">
        <v>0</v>
      </c>
      <c r="H29" s="7"/>
      <c r="I29" s="7" t="s">
        <v>143</v>
      </c>
      <c r="J29" s="7"/>
      <c r="K29" s="7"/>
    </row>
    <row r="30" spans="1:11">
      <c r="A30" s="8"/>
      <c r="B30" s="8"/>
      <c r="C30" s="7" t="s">
        <v>211</v>
      </c>
      <c r="D30" s="7"/>
      <c r="E30" s="7"/>
      <c r="F30" s="7"/>
      <c r="G30" s="9">
        <v>0</v>
      </c>
      <c r="H30" s="7"/>
      <c r="I30" s="7" t="s">
        <v>143</v>
      </c>
      <c r="J30" s="7"/>
      <c r="K30" s="7"/>
    </row>
    <row r="31" spans="1:11">
      <c r="A31" s="8"/>
      <c r="B31" s="8"/>
      <c r="C31" s="7" t="s">
        <v>212</v>
      </c>
      <c r="D31" s="7"/>
      <c r="E31" s="7"/>
      <c r="F31" s="7"/>
      <c r="G31" s="9">
        <v>0</v>
      </c>
      <c r="H31" s="7"/>
      <c r="I31" s="7" t="s">
        <v>143</v>
      </c>
      <c r="J31" s="7"/>
      <c r="K31" s="7"/>
    </row>
    <row r="32" spans="1:11">
      <c r="A32" s="8"/>
      <c r="B32" s="8"/>
      <c r="C32" s="7" t="s">
        <v>213</v>
      </c>
      <c r="D32" s="7"/>
      <c r="E32" s="7"/>
      <c r="F32" s="7"/>
      <c r="G32" s="9">
        <v>0</v>
      </c>
      <c r="H32" s="7"/>
      <c r="I32" s="7" t="s">
        <v>143</v>
      </c>
      <c r="J32" s="7"/>
      <c r="K32" s="7"/>
    </row>
    <row r="33" spans="1:11">
      <c r="A33" s="8"/>
      <c r="B33" s="8"/>
      <c r="C33" s="7" t="s">
        <v>214</v>
      </c>
      <c r="D33" s="7"/>
      <c r="E33" s="7"/>
      <c r="F33" s="7"/>
      <c r="G33" s="9">
        <v>0</v>
      </c>
      <c r="H33" s="7"/>
      <c r="I33" s="7" t="s">
        <v>143</v>
      </c>
      <c r="J33" s="7"/>
      <c r="K33" s="7"/>
    </row>
    <row r="34" spans="1:11">
      <c r="A34" s="7"/>
      <c r="B34" s="7"/>
      <c r="C34" s="7" t="s">
        <v>26</v>
      </c>
      <c r="D34" s="7"/>
      <c r="E34" s="7">
        <v>20</v>
      </c>
      <c r="F34" s="7">
        <v>2</v>
      </c>
      <c r="G34" s="9">
        <v>40</v>
      </c>
      <c r="H34" s="7"/>
      <c r="I34" s="7" t="s">
        <v>143</v>
      </c>
      <c r="J34" s="7"/>
      <c r="K34" s="7"/>
    </row>
    <row r="35" spans="1:11">
      <c r="A35" s="8"/>
      <c r="B35" s="8"/>
      <c r="C35" s="7"/>
      <c r="D35" s="7" t="s">
        <v>215</v>
      </c>
      <c r="E35" s="7">
        <v>328</v>
      </c>
      <c r="F35" s="7">
        <v>2</v>
      </c>
      <c r="G35" s="9">
        <v>656</v>
      </c>
      <c r="H35" s="7"/>
      <c r="I35" s="7" t="s">
        <v>145</v>
      </c>
      <c r="J35" s="7"/>
      <c r="K35" s="7"/>
    </row>
    <row r="36" ht="18" customHeight="1" spans="1:11">
      <c r="A36" s="6" t="s">
        <v>216</v>
      </c>
      <c r="J36" s="7"/>
      <c r="K36" s="7"/>
    </row>
    <row r="37" spans="1:11">
      <c r="A37" s="8"/>
      <c r="B37" s="8"/>
      <c r="C37" s="7"/>
      <c r="D37" s="7"/>
      <c r="E37" s="7"/>
      <c r="F37" s="7"/>
      <c r="G37" s="9">
        <v>0</v>
      </c>
      <c r="H37" s="7"/>
      <c r="I37" s="7" t="s">
        <v>143</v>
      </c>
      <c r="J37" s="7"/>
      <c r="K37" s="7"/>
    </row>
    <row r="38" spans="1:11">
      <c r="A38" s="8"/>
      <c r="B38" s="8"/>
      <c r="C38" s="7"/>
      <c r="D38" s="7"/>
      <c r="E38" s="7"/>
      <c r="F38" s="7"/>
      <c r="G38" s="9">
        <v>0</v>
      </c>
      <c r="H38" s="7"/>
      <c r="I38" s="7" t="s">
        <v>143</v>
      </c>
      <c r="J38" s="7"/>
      <c r="K38" s="7"/>
    </row>
    <row r="39" spans="1:11">
      <c r="A39" s="8"/>
      <c r="B39" s="8"/>
      <c r="C39" s="7"/>
      <c r="D39" s="7"/>
      <c r="E39" s="7"/>
      <c r="F39" s="7"/>
      <c r="G39" s="9">
        <v>0</v>
      </c>
      <c r="H39" s="7"/>
      <c r="I39" s="7" t="s">
        <v>143</v>
      </c>
      <c r="J39" s="7"/>
      <c r="K39" s="7"/>
    </row>
    <row r="40" spans="1:11">
      <c r="A40" s="8"/>
      <c r="B40" s="8"/>
      <c r="C40" s="7"/>
      <c r="D40" s="7"/>
      <c r="E40" s="7"/>
      <c r="F40" s="7"/>
      <c r="G40" s="9">
        <v>0</v>
      </c>
      <c r="H40" s="7"/>
      <c r="I40" s="7" t="s">
        <v>143</v>
      </c>
      <c r="J40" s="7"/>
      <c r="K40" s="7"/>
    </row>
    <row r="41" spans="1:11">
      <c r="A41" s="8"/>
      <c r="B41" s="8"/>
      <c r="C41" s="7"/>
      <c r="D41" s="7"/>
      <c r="E41" s="7"/>
      <c r="F41" s="7"/>
      <c r="G41" s="9">
        <v>0</v>
      </c>
      <c r="H41" s="7"/>
      <c r="I41" s="7" t="s">
        <v>143</v>
      </c>
      <c r="J41" s="7"/>
      <c r="K41" s="7"/>
    </row>
    <row r="42" spans="1:11">
      <c r="A42" s="8"/>
      <c r="B42" s="8"/>
      <c r="C42" s="7"/>
      <c r="D42" s="7"/>
      <c r="E42" s="7"/>
      <c r="F42" s="7"/>
      <c r="G42" s="9">
        <v>0</v>
      </c>
      <c r="H42" s="7"/>
      <c r="I42" s="7" t="s">
        <v>143</v>
      </c>
      <c r="J42" s="7"/>
      <c r="K42" s="7"/>
    </row>
    <row r="43" spans="1:11">
      <c r="A43" s="8"/>
      <c r="B43" s="8"/>
      <c r="C43" s="7"/>
      <c r="D43" s="7"/>
      <c r="E43" s="7"/>
      <c r="F43" s="7"/>
      <c r="G43" s="9">
        <v>0</v>
      </c>
      <c r="H43" s="7"/>
      <c r="I43" s="7" t="s">
        <v>143</v>
      </c>
      <c r="J43" s="7"/>
      <c r="K43" s="7"/>
    </row>
    <row r="44" spans="1:11">
      <c r="A44" s="8"/>
      <c r="B44" s="8"/>
      <c r="C44" s="7"/>
      <c r="D44" s="7"/>
      <c r="E44" s="7"/>
      <c r="F44" s="7"/>
      <c r="G44" s="9">
        <v>0</v>
      </c>
      <c r="H44" s="7"/>
      <c r="I44" s="7" t="s">
        <v>143</v>
      </c>
      <c r="J44" s="7"/>
      <c r="K44" s="7"/>
    </row>
    <row r="45" ht="18" customHeight="1" spans="1:11">
      <c r="A45" s="6" t="s">
        <v>217</v>
      </c>
      <c r="J45" s="7"/>
      <c r="K45" s="7"/>
    </row>
    <row r="46" spans="1:11">
      <c r="A46" s="8"/>
      <c r="B46" s="8"/>
      <c r="C46" s="7"/>
      <c r="D46" s="7"/>
      <c r="E46" s="7"/>
      <c r="F46" s="7"/>
      <c r="G46" s="9">
        <v>0</v>
      </c>
      <c r="H46" s="7"/>
      <c r="I46" s="7" t="s">
        <v>143</v>
      </c>
      <c r="J46" s="7"/>
      <c r="K46" s="7"/>
    </row>
    <row r="47" spans="1:11">
      <c r="A47" s="8"/>
      <c r="B47" s="8"/>
      <c r="C47" s="7"/>
      <c r="D47" s="7"/>
      <c r="E47" s="7"/>
      <c r="F47" s="7"/>
      <c r="G47" s="9">
        <v>0</v>
      </c>
      <c r="H47" s="7"/>
      <c r="I47" s="7" t="s">
        <v>143</v>
      </c>
      <c r="J47" s="7"/>
      <c r="K47" s="7"/>
    </row>
    <row r="48" spans="1:11">
      <c r="A48" s="8"/>
      <c r="B48" s="8"/>
      <c r="C48" s="7"/>
      <c r="D48" s="7"/>
      <c r="E48" s="7"/>
      <c r="F48" s="7"/>
      <c r="G48" s="9">
        <v>0</v>
      </c>
      <c r="H48" s="7"/>
      <c r="I48" s="7" t="s">
        <v>143</v>
      </c>
      <c r="J48" s="7"/>
      <c r="K48" s="7"/>
    </row>
    <row r="49" spans="1:11">
      <c r="A49" s="8"/>
      <c r="B49" s="8"/>
      <c r="C49" s="7"/>
      <c r="D49" s="7"/>
      <c r="E49" s="7"/>
      <c r="F49" s="7"/>
      <c r="G49" s="9">
        <v>0</v>
      </c>
      <c r="H49" s="7"/>
      <c r="I49" s="7" t="s">
        <v>143</v>
      </c>
      <c r="J49" s="7"/>
      <c r="K49" s="7"/>
    </row>
    <row r="50" spans="1:11">
      <c r="A50" s="8"/>
      <c r="B50" s="8"/>
      <c r="C50" s="7"/>
      <c r="D50" s="7"/>
      <c r="E50" s="7"/>
      <c r="F50" s="7"/>
      <c r="G50" s="9">
        <v>0</v>
      </c>
      <c r="H50" s="7"/>
      <c r="I50" s="7" t="s">
        <v>143</v>
      </c>
      <c r="J50" s="7"/>
      <c r="K50" s="7"/>
    </row>
    <row r="51" spans="1:11">
      <c r="A51" s="8"/>
      <c r="B51" s="8"/>
      <c r="C51" s="7"/>
      <c r="D51" s="7"/>
      <c r="E51" s="7"/>
      <c r="F51" s="7"/>
      <c r="G51" s="9">
        <v>0</v>
      </c>
      <c r="H51" s="7"/>
      <c r="I51" s="7" t="s">
        <v>143</v>
      </c>
      <c r="J51" s="7"/>
      <c r="K51" s="7"/>
    </row>
    <row r="52" spans="1:11">
      <c r="A52" s="8"/>
      <c r="B52" s="8"/>
      <c r="C52" s="7"/>
      <c r="D52" s="7"/>
      <c r="E52" s="7"/>
      <c r="F52" s="7"/>
      <c r="G52" s="9">
        <v>0</v>
      </c>
      <c r="H52" s="7"/>
      <c r="I52" s="7" t="s">
        <v>143</v>
      </c>
      <c r="J52" s="7"/>
      <c r="K52" s="7"/>
    </row>
    <row r="53" ht="18" customHeight="1" spans="1:11">
      <c r="A53" s="6" t="s">
        <v>218</v>
      </c>
      <c r="J53" s="7"/>
      <c r="K53" s="7"/>
    </row>
    <row r="54" spans="1:11">
      <c r="A54" s="8"/>
      <c r="B54" s="8"/>
      <c r="C54" s="7"/>
      <c r="D54" s="7"/>
      <c r="E54" s="7"/>
      <c r="F54" s="7"/>
      <c r="G54" s="9"/>
      <c r="H54" s="7"/>
      <c r="I54" s="7" t="s">
        <v>143</v>
      </c>
      <c r="J54" s="7"/>
      <c r="K54" s="7"/>
    </row>
  </sheetData>
  <mergeCells count="7">
    <mergeCell ref="A2:I2"/>
    <mergeCell ref="A13:I13"/>
    <mergeCell ref="A17:I17"/>
    <mergeCell ref="A28:I28"/>
    <mergeCell ref="A36:I36"/>
    <mergeCell ref="A45:I45"/>
    <mergeCell ref="A53:I53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8"/>
  <sheetViews>
    <sheetView topLeftCell="A6" workbookViewId="0">
      <selection activeCell="B6" sqref="B6 C6 B12:C12 B13:C13 B14 C14 B27:C27 B30:C30 B21:C24 B31:C75 B25:C26 B28:C29 B7:C11"/>
    </sheetView>
  </sheetViews>
  <sheetFormatPr defaultColWidth="9" defaultRowHeight="14.25"/>
  <sheetData>
    <row r="1" spans="1:1">
      <c r="A1" s="1">
        <v>0.25</v>
      </c>
    </row>
    <row r="2" spans="1:1">
      <c r="A2" s="1">
        <v>0.256944444444444</v>
      </c>
    </row>
    <row r="3" spans="1:1">
      <c r="A3" s="1">
        <v>0.263888888888889</v>
      </c>
    </row>
    <row r="4" spans="1:1">
      <c r="A4" s="1">
        <v>0.270833333333333</v>
      </c>
    </row>
    <row r="5" spans="1:1">
      <c r="A5" s="1">
        <v>0.277777777777778</v>
      </c>
    </row>
    <row r="6" spans="1:1">
      <c r="A6" s="1">
        <v>0.284722222222222</v>
      </c>
    </row>
    <row r="7" spans="1:1">
      <c r="A7" s="1">
        <v>0.291666666666667</v>
      </c>
    </row>
    <row r="8" spans="1:1">
      <c r="A8" s="1">
        <v>0.298611111111111</v>
      </c>
    </row>
    <row r="9" spans="1:1">
      <c r="A9" s="1">
        <v>0.305555555555556</v>
      </c>
    </row>
    <row r="10" spans="1:1">
      <c r="A10" s="1">
        <v>0.3125</v>
      </c>
    </row>
    <row r="11" spans="1:1">
      <c r="A11" s="1">
        <v>0.319444444444444</v>
      </c>
    </row>
    <row r="12" spans="1:1">
      <c r="A12" s="1">
        <v>0.326388888888889</v>
      </c>
    </row>
    <row r="13" spans="1:1">
      <c r="A13" s="1">
        <v>0.333333333333333</v>
      </c>
    </row>
    <row r="14" spans="1:1">
      <c r="A14" s="1">
        <v>0.340277777777778</v>
      </c>
    </row>
    <row r="15" spans="1:1">
      <c r="A15" s="1">
        <v>0.347222222222222</v>
      </c>
    </row>
    <row r="16" spans="1:1">
      <c r="A16" s="1">
        <v>0.354166666666667</v>
      </c>
    </row>
    <row r="17" spans="1:1">
      <c r="A17" s="1">
        <v>0.361111111111111</v>
      </c>
    </row>
    <row r="18" spans="1:1">
      <c r="A18" s="1">
        <v>0.368055555555556</v>
      </c>
    </row>
    <row r="19" spans="1:1">
      <c r="A19" s="1">
        <v>0.375</v>
      </c>
    </row>
    <row r="20" spans="1:1">
      <c r="A20" s="1">
        <v>0.381944444444444</v>
      </c>
    </row>
    <row r="21" spans="1:1">
      <c r="A21" s="1">
        <v>0.388888888888889</v>
      </c>
    </row>
    <row r="22" spans="1:1">
      <c r="A22" s="1">
        <v>0.395833333333333</v>
      </c>
    </row>
    <row r="23" spans="1:1">
      <c r="A23" s="1">
        <v>0.402777777777778</v>
      </c>
    </row>
    <row r="24" spans="1:1">
      <c r="A24" s="1">
        <v>0.409722222222222</v>
      </c>
    </row>
    <row r="25" spans="1:1">
      <c r="A25" s="1">
        <v>0.416666666666667</v>
      </c>
    </row>
    <row r="26" spans="1:1">
      <c r="A26" s="1">
        <v>0.423611111111111</v>
      </c>
    </row>
    <row r="27" spans="1:1">
      <c r="A27" s="1">
        <v>0.430555555555556</v>
      </c>
    </row>
    <row r="28" spans="1:1">
      <c r="A28" s="1">
        <v>0.4375</v>
      </c>
    </row>
    <row r="29" spans="1:1">
      <c r="A29" s="1">
        <v>0.444444444444444</v>
      </c>
    </row>
    <row r="30" spans="1:1">
      <c r="A30" s="1">
        <v>0.451388888888889</v>
      </c>
    </row>
    <row r="31" spans="1:1">
      <c r="A31" s="1">
        <v>0.458333333333333</v>
      </c>
    </row>
    <row r="32" spans="1:1">
      <c r="A32" s="1">
        <v>0.465277777777778</v>
      </c>
    </row>
    <row r="33" spans="1:1">
      <c r="A33" s="1">
        <v>0.472222222222222</v>
      </c>
    </row>
    <row r="34" spans="1:1">
      <c r="A34" s="1">
        <v>0.479166666666667</v>
      </c>
    </row>
    <row r="35" spans="1:1">
      <c r="A35" s="1">
        <v>0.486111111111111</v>
      </c>
    </row>
    <row r="36" spans="1:1">
      <c r="A36" s="1">
        <v>0.493055555555556</v>
      </c>
    </row>
    <row r="37" spans="1:1">
      <c r="A37" s="1">
        <v>0.5</v>
      </c>
    </row>
    <row r="38" spans="1:1">
      <c r="A38" s="1">
        <v>0.506944444444444</v>
      </c>
    </row>
    <row r="39" spans="1:1">
      <c r="A39" s="1">
        <v>0.513888888888889</v>
      </c>
    </row>
    <row r="40" spans="1:1">
      <c r="A40" s="1">
        <v>0.520833333333333</v>
      </c>
    </row>
    <row r="41" spans="1:1">
      <c r="A41" s="1">
        <v>0.527777777777778</v>
      </c>
    </row>
    <row r="42" spans="1:1">
      <c r="A42" s="1">
        <v>0.534722222222222</v>
      </c>
    </row>
    <row r="43" spans="1:1">
      <c r="A43" s="1">
        <v>0.541666666666667</v>
      </c>
    </row>
    <row r="44" spans="1:1">
      <c r="A44" s="1">
        <v>0.548611111111111</v>
      </c>
    </row>
    <row r="45" spans="1:1">
      <c r="A45" s="1">
        <v>0.555555555555556</v>
      </c>
    </row>
    <row r="46" spans="1:1">
      <c r="A46" s="1">
        <v>0.5625</v>
      </c>
    </row>
    <row r="47" spans="1:1">
      <c r="A47" s="1">
        <v>0.569444444444444</v>
      </c>
    </row>
    <row r="48" spans="1:1">
      <c r="A48" s="1">
        <v>0.576388888888889</v>
      </c>
    </row>
    <row r="49" spans="1:1">
      <c r="A49" s="1">
        <v>0.583333333333333</v>
      </c>
    </row>
    <row r="50" spans="1:1">
      <c r="A50" s="1">
        <v>0.590277777777778</v>
      </c>
    </row>
    <row r="51" spans="1:1">
      <c r="A51" s="1">
        <v>0.597222222222222</v>
      </c>
    </row>
    <row r="52" spans="1:1">
      <c r="A52" s="1">
        <v>0.604166666666667</v>
      </c>
    </row>
    <row r="53" spans="1:1">
      <c r="A53" s="1">
        <v>0.611111111111111</v>
      </c>
    </row>
    <row r="54" spans="1:1">
      <c r="A54" s="1">
        <v>0.618055555555556</v>
      </c>
    </row>
    <row r="55" spans="1:1">
      <c r="A55" s="1">
        <v>0.625</v>
      </c>
    </row>
    <row r="56" spans="1:1">
      <c r="A56" s="1">
        <v>0.631944444444444</v>
      </c>
    </row>
    <row r="57" spans="1:1">
      <c r="A57" s="1">
        <v>0.638888888888889</v>
      </c>
    </row>
    <row r="58" spans="1:1">
      <c r="A58" s="1">
        <v>0.645833333333333</v>
      </c>
    </row>
    <row r="59" spans="1:1">
      <c r="A59" s="1">
        <v>0.652777777777778</v>
      </c>
    </row>
    <row r="60" spans="1:1">
      <c r="A60" s="1">
        <v>0.659722222222222</v>
      </c>
    </row>
    <row r="61" spans="1:1">
      <c r="A61" s="1">
        <v>0.666666666666667</v>
      </c>
    </row>
    <row r="62" spans="1:1">
      <c r="A62" s="1">
        <v>0.673611111111111</v>
      </c>
    </row>
    <row r="63" spans="1:1">
      <c r="A63" s="1">
        <v>0.680555555555556</v>
      </c>
    </row>
    <row r="64" spans="1:1">
      <c r="A64" s="1">
        <v>0.6875</v>
      </c>
    </row>
    <row r="65" spans="1:1">
      <c r="A65" s="1">
        <v>0.694444444444444</v>
      </c>
    </row>
    <row r="66" spans="1:1">
      <c r="A66" s="1">
        <v>0.701388888888889</v>
      </c>
    </row>
    <row r="67" spans="1:1">
      <c r="A67" s="1">
        <v>0.708333333333333</v>
      </c>
    </row>
    <row r="68" spans="1:1">
      <c r="A68" s="1">
        <v>0.715277777777778</v>
      </c>
    </row>
    <row r="69" spans="1:1">
      <c r="A69" s="1">
        <v>0.722222222222222</v>
      </c>
    </row>
    <row r="70" spans="1:1">
      <c r="A70" s="1">
        <v>0.729166666666667</v>
      </c>
    </row>
    <row r="71" spans="1:1">
      <c r="A71" s="1">
        <v>0.736111111111111</v>
      </c>
    </row>
    <row r="72" spans="1:1">
      <c r="A72" s="1">
        <v>0.743055555555556</v>
      </c>
    </row>
    <row r="73" spans="1:1">
      <c r="A73" s="1">
        <v>0.75</v>
      </c>
    </row>
    <row r="74" spans="1:1">
      <c r="A74" s="1">
        <v>0.756944444444444</v>
      </c>
    </row>
    <row r="75" spans="1:1">
      <c r="A75" s="1">
        <v>0.763888888888889</v>
      </c>
    </row>
    <row r="76" spans="1:1">
      <c r="A76" s="1">
        <v>0.770833333333333</v>
      </c>
    </row>
    <row r="77" spans="1:1">
      <c r="A77" s="1">
        <v>0.777777777777778</v>
      </c>
    </row>
    <row r="78" spans="1:1">
      <c r="A78" s="1">
        <v>0.784722222222222</v>
      </c>
    </row>
    <row r="79" spans="1:1">
      <c r="A79" s="1">
        <v>0.791666666666667</v>
      </c>
    </row>
    <row r="80" spans="1:1">
      <c r="A80" s="1">
        <v>0.798611111111111</v>
      </c>
    </row>
    <row r="81" spans="1:1">
      <c r="A81" s="1">
        <v>0.805555555555556</v>
      </c>
    </row>
    <row r="82" spans="1:1">
      <c r="A82" s="1">
        <v>0.8125</v>
      </c>
    </row>
    <row r="83" spans="1:1">
      <c r="A83" s="1">
        <v>0.819444444444444</v>
      </c>
    </row>
    <row r="84" spans="1:1">
      <c r="A84" s="1">
        <v>0.826388888888889</v>
      </c>
    </row>
    <row r="85" spans="1:1">
      <c r="A85" s="1">
        <v>0.833333333333333</v>
      </c>
    </row>
    <row r="86" spans="1:1">
      <c r="A86" s="1">
        <v>0.840277777777778</v>
      </c>
    </row>
    <row r="87" spans="1:1">
      <c r="A87" s="1">
        <v>0.847222222222222</v>
      </c>
    </row>
    <row r="88" spans="1:1">
      <c r="A88" s="1">
        <v>0.854166666666667</v>
      </c>
    </row>
    <row r="89" spans="1:1">
      <c r="A89" s="1">
        <v>0.861111111111111</v>
      </c>
    </row>
    <row r="90" spans="1:1">
      <c r="A90" s="1">
        <v>0.868055555555556</v>
      </c>
    </row>
    <row r="91" spans="1:1">
      <c r="A91" s="1">
        <v>0.875</v>
      </c>
    </row>
    <row r="92" spans="1:1">
      <c r="A92" s="1">
        <v>0.881944444444444</v>
      </c>
    </row>
    <row r="93" spans="1:1">
      <c r="A93" s="1">
        <v>0.888888888888889</v>
      </c>
    </row>
    <row r="94" spans="1:1">
      <c r="A94" s="1">
        <v>0.895833333333333</v>
      </c>
    </row>
    <row r="95" spans="1:1">
      <c r="A95" s="1">
        <v>0.902777777777778</v>
      </c>
    </row>
    <row r="96" spans="1:1">
      <c r="A96" s="1">
        <v>0.909722222222222</v>
      </c>
    </row>
    <row r="97" spans="1:1">
      <c r="A97" s="1">
        <v>0.916666666666667</v>
      </c>
    </row>
    <row r="98" spans="1:1">
      <c r="A98" s="1">
        <v>0.923611111111111</v>
      </c>
    </row>
    <row r="99" spans="1:1">
      <c r="A99" s="1">
        <v>0.930555555555556</v>
      </c>
    </row>
    <row r="100" spans="1:1">
      <c r="A100" s="1">
        <v>0.9375</v>
      </c>
    </row>
    <row r="101" spans="1:1">
      <c r="A101" s="1">
        <v>0.944444444444444</v>
      </c>
    </row>
    <row r="102" spans="1:1">
      <c r="A102" s="1">
        <v>0.951388888888889</v>
      </c>
    </row>
    <row r="103" spans="1:1">
      <c r="A103" s="1">
        <v>0.958333333333333</v>
      </c>
    </row>
    <row r="104" spans="1:1">
      <c r="A104" s="1">
        <v>0.965277777777778</v>
      </c>
    </row>
    <row r="105" spans="1:1">
      <c r="A105" s="1">
        <v>0.972222222222222</v>
      </c>
    </row>
    <row r="106" spans="1:1">
      <c r="A106" s="1">
        <v>0.979166666666667</v>
      </c>
    </row>
    <row r="107" spans="1:1">
      <c r="A107" s="1">
        <v>0.986111111111111</v>
      </c>
    </row>
    <row r="108" spans="1:1">
      <c r="A108" s="1">
        <v>0.993055555555556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26暑期云南</vt:lpstr>
      <vt:lpstr>26清明重庆成都</vt:lpstr>
      <vt:lpstr>模板验证-清明重庆</vt:lpstr>
      <vt:lpstr>25国庆长沙武汉</vt:lpstr>
      <vt:lpstr>25大电烟台威海</vt:lpstr>
      <vt:lpstr>验证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Sun(孙亮)</dc:creator>
  <cp:lastModifiedBy>hellsge</cp:lastModifiedBy>
  <dcterms:created xsi:type="dcterms:W3CDTF">2015-06-05T18:19:00Z</dcterms:created>
  <dcterms:modified xsi:type="dcterms:W3CDTF">2026-07-31T16:33:47Z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ADAAF59928E14C06ACF4B3AB386F5B4F_12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
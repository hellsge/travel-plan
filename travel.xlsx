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360" tabRatio="600" firstSheet="0" activeTab="0" autoFilterDateGrouping="1"/>
  </bookViews>
  <sheets>
    <sheet xmlns:r="http://schemas.openxmlformats.org/officeDocument/2006/relationships" name="26暑期云南" sheetId="1" state="visible" r:id="rId1"/>
    <sheet xmlns:r="http://schemas.openxmlformats.org/officeDocument/2006/relationships" name="26清明重庆成都" sheetId="2" state="visible" r:id="rId2"/>
    <sheet xmlns:r="http://schemas.openxmlformats.org/officeDocument/2006/relationships" name="模板验证-清明重庆" sheetId="3" state="visible" r:id="rId3"/>
    <sheet xmlns:r="http://schemas.openxmlformats.org/officeDocument/2006/relationships" name="25国庆长沙武汉" sheetId="4" state="visible" r:id="rId4"/>
    <sheet xmlns:r="http://schemas.openxmlformats.org/officeDocument/2006/relationships" name="25大电烟台威海" sheetId="5" state="visible" r:id="rId5"/>
    <sheet xmlns:r="http://schemas.openxmlformats.org/officeDocument/2006/relationships" name="验证" sheetId="6" state="visible" r:id="rId6"/>
  </sheets>
  <definedNames>
    <definedName name="_xlnm._FilterDatabase" localSheetId="0" hidden="1">'26暑期云南'!$A$4:$K$85</definedName>
    <definedName name="_xlnm.Print_Area" localSheetId="0">'26暑期云南'!$A$1:$L$234</definedName>
    <definedName name="_xlnm._FilterDatabase" localSheetId="2" hidden="1">'模板验证-清明重庆'!$A$4:$K$39</definedName>
    <definedName name="_xlnm.Print_Titles" localSheetId="2">'模板验证-清明重庆'!$1:$4</definedName>
    <definedName name="_xlnm.Print_Area" localSheetId="2">'模板验证-清明重庆'!$A$1:$L$200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hh:mm"/>
    <numFmt numFmtId="165" formatCode="h:mm;@"/>
    <numFmt numFmtId="166" formatCode="\¥#,##0.00_);[Red]\(\¥#,##0.00\)"/>
    <numFmt numFmtId="167" formatCode="m&quot;月&quot;d&quot;日&quot;;@"/>
    <numFmt numFmtId="168" formatCode="yyyy\-m\-d"/>
    <numFmt numFmtId="169" formatCode="\¥#,##0.00"/>
    <numFmt numFmtId="170" formatCode="m/d"/>
    <numFmt numFmtId="171" formatCode="m/d\ hh:mm"/>
    <numFmt numFmtId="172" formatCode="上午/下午h&quot;时&quot;mm&quot;分&quot;;@"/>
    <numFmt numFmtId="173" formatCode="yyyy/m/d\ h:mm;@"/>
  </numFmts>
  <fonts count="35">
    <font>
      <name val="等线"/>
      <charset val="134"/>
      <color theme="1"/>
      <sz val="11"/>
      <scheme val="minor"/>
    </font>
    <font>
      <name val="等线"/>
      <charset val="134"/>
      <b val="1"/>
      <color rgb="FF000000"/>
      <sz val="10"/>
      <scheme val="minor"/>
    </font>
    <font>
      <name val="等线"/>
      <charset val="134"/>
      <color rgb="FF000000"/>
      <sz val="14"/>
      <scheme val="minor"/>
    </font>
    <font>
      <name val="等线"/>
      <charset val="134"/>
      <color rgb="FFFF0000"/>
      <sz val="14"/>
      <scheme val="minor"/>
    </font>
    <font>
      <name val="等线"/>
      <charset val="134"/>
      <color rgb="FFC00000"/>
      <sz val="14"/>
      <scheme val="minor"/>
    </font>
    <font>
      <name val="等线"/>
      <charset val="134"/>
      <color rgb="FF000000"/>
      <sz val="10"/>
      <scheme val="minor"/>
    </font>
    <font>
      <name val="微软雅黑"/>
      <charset val="134"/>
      <b val="1"/>
      <color rgb="FFFFFFFF"/>
      <sz val="18"/>
    </font>
    <font>
      <name val="微软雅黑"/>
      <charset val="134"/>
      <b val="1"/>
      <color rgb="FF1F4E78"/>
      <sz val="10"/>
    </font>
    <font>
      <name val="微软雅黑"/>
      <charset val="134"/>
      <b val="1"/>
      <color rgb="FF243447"/>
      <sz val="11"/>
    </font>
    <font>
      <name val="微软雅黑"/>
      <charset val="134"/>
      <i val="1"/>
      <color rgb="FF667788"/>
      <sz val="9"/>
    </font>
    <font>
      <name val="微软雅黑"/>
      <charset val="134"/>
      <b val="1"/>
      <color rgb="FFFFFFFF"/>
      <sz val="10"/>
    </font>
    <font>
      <name val="微软雅黑"/>
      <charset val="134"/>
      <b val="1"/>
      <color rgb="FF1F4E78"/>
      <sz val="12"/>
    </font>
    <font>
      <name val="微软雅黑"/>
      <charset val="134"/>
      <color rgb="FF243447"/>
      <sz val="10"/>
    </font>
    <font>
      <name val="微软雅黑"/>
      <charset val="134"/>
      <b val="1"/>
      <color rgb="FF243447"/>
      <sz val="10"/>
    </font>
    <font>
      <name val="等线"/>
      <charset val="134"/>
      <b val="1"/>
      <color rgb="FFFF0000"/>
      <sz val="14"/>
      <scheme val="minor"/>
    </font>
    <font>
      <name val="微软雅黑"/>
      <charset val="134"/>
      <color rgb="FF243447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 style="thin">
        <color rgb="FFCFD8E3"/>
      </bottom>
      <diagonal/>
    </border>
    <border>
      <left/>
      <right/>
      <top/>
      <bottom style="thin">
        <color rgb="FFCFD8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1F4E78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6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7" borderId="8" applyAlignment="1">
      <alignment vertical="center"/>
    </xf>
    <xf numFmtId="0" fontId="25" fillId="8" borderId="9" applyAlignment="1">
      <alignment vertical="center"/>
    </xf>
    <xf numFmtId="0" fontId="26" fillId="8" borderId="8" applyAlignment="1">
      <alignment vertical="center"/>
    </xf>
    <xf numFmtId="0" fontId="27" fillId="9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3" fillId="36" borderId="0" applyAlignment="1">
      <alignment vertical="center"/>
    </xf>
  </cellStyleXfs>
  <cellXfs count="66">
    <xf numFmtId="0" fontId="0" fillId="0" borderId="0" pivotButton="0" quotePrefix="0" xfId="0"/>
    <xf numFmtId="164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0" fillId="0" borderId="2" pivotButton="0" quotePrefix="0" xfId="0"/>
    <xf numFmtId="17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169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171" fontId="12" fillId="0" borderId="3" applyAlignment="1" pivotButton="0" quotePrefix="0" xfId="0">
      <alignment horizontal="center" vertical="center" wrapText="1"/>
    </xf>
    <xf numFmtId="170" fontId="12" fillId="5" borderId="3" applyAlignment="1" pivotButton="0" quotePrefix="0" xfId="0">
      <alignment horizontal="center" vertical="center"/>
    </xf>
    <xf numFmtId="164" fontId="12" fillId="5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 wrapText="1"/>
    </xf>
    <xf numFmtId="169" fontId="12" fillId="5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/>
    </xf>
    <xf numFmtId="171" fontId="12" fillId="5" borderId="3" applyAlignment="1" pivotButton="0" quotePrefix="0" xfId="0">
      <alignment horizontal="center" vertical="center" wrapText="1"/>
    </xf>
    <xf numFmtId="0" fontId="13" fillId="0" borderId="0" pivotButton="0" quotePrefix="0" xfId="0"/>
    <xf numFmtId="172" fontId="1" fillId="0" borderId="0" applyAlignment="1" pivotButton="0" quotePrefix="0" xfId="0">
      <alignment horizontal="center" vertical="center"/>
    </xf>
    <xf numFmtId="166" fontId="14" fillId="0" borderId="4" applyAlignment="1" pivotButton="0" quotePrefix="0" xfId="0">
      <alignment horizontal="center" vertical="center"/>
    </xf>
    <xf numFmtId="173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10" fillId="3" borderId="1" applyAlignment="1" pivotButton="0" quotePrefix="0" xfId="0">
      <alignment horizontal="center" vertical="center" wrapText="1"/>
    </xf>
    <xf numFmtId="22" fontId="12" fillId="0" borderId="3" applyAlignment="1" pivotButton="0" quotePrefix="0" xfId="0">
      <alignment horizontal="center" vertical="center"/>
    </xf>
    <xf numFmtId="164" fontId="13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 wrapText="1"/>
    </xf>
    <xf numFmtId="168" fontId="8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center"/>
    </xf>
    <xf numFmtId="17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center" vertical="center"/>
    </xf>
    <xf numFmtId="164" fontId="13" fillId="0" borderId="3" applyAlignment="1" pivotButton="0" quotePrefix="0" xfId="0">
      <alignment horizontal="center" vertical="center"/>
    </xf>
    <xf numFmtId="171" fontId="12" fillId="0" borderId="3" applyAlignment="1" pivotButton="0" quotePrefix="0" xfId="0">
      <alignment horizontal="center" vertical="center" wrapText="1"/>
    </xf>
    <xf numFmtId="164" fontId="0" fillId="0" borderId="0" pivotButton="0" quotePrefix="0" xfId="0"/>
    <xf numFmtId="172" fontId="1" fillId="0" borderId="0" applyAlignment="1" pivotButton="0" quotePrefix="0" xfId="0">
      <alignment horizontal="center" vertical="center"/>
    </xf>
    <xf numFmtId="166" fontId="14" fillId="0" borderId="4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73" fontId="5" fillId="0" borderId="0" applyAlignment="1" pivotButton="0" quotePrefix="0" xfId="0">
      <alignment horizontal="center" vertical="center"/>
    </xf>
    <xf numFmtId="170" fontId="12" fillId="5" borderId="3" applyAlignment="1" pivotButton="0" quotePrefix="0" xfId="0">
      <alignment horizontal="center" vertical="center"/>
    </xf>
    <xf numFmtId="164" fontId="12" fillId="5" borderId="3" applyAlignment="1" pivotButton="0" quotePrefix="0" xfId="0">
      <alignment horizontal="center" vertical="center"/>
    </xf>
    <xf numFmtId="169" fontId="12" fillId="5" borderId="3" applyAlignment="1" pivotButton="0" quotePrefix="0" xfId="0">
      <alignment horizontal="center" vertical="center"/>
    </xf>
    <xf numFmtId="171" fontId="12" fillId="5" borderId="3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b val="1"/>
      </font>
      <fill>
        <patternFill patternType="solid">
          <bgColor rgb="FFC9C3B5"/>
        </patternFill>
      </fill>
    </dxf>
    <dxf>
      <font>
        <b val="1"/>
      </font>
      <fill>
        <patternFill patternType="solid">
          <bgColor rgb="FFE6B8CE"/>
        </patternFill>
      </fill>
    </dxf>
    <dxf>
      <font>
        <b val="1"/>
      </font>
      <fill>
        <patternFill patternType="solid">
          <bgColor rgb="FFBFBFBF"/>
        </patternFill>
      </fill>
    </dxf>
    <dxf>
      <font>
        <b val="1"/>
      </font>
      <fill>
        <patternFill patternType="solid">
          <bgColor rgb="FFF4B183"/>
        </patternFill>
      </fill>
    </dxf>
    <dxf>
      <font>
        <b val="1"/>
      </font>
      <fill>
        <patternFill patternType="solid">
          <bgColor rgb="FFA9D18E"/>
        </patternFill>
      </fill>
    </dxf>
    <dxf>
      <font>
        <b val="1"/>
      </font>
      <fill>
        <patternFill patternType="solid">
          <bgColor rgb="FFC9B2D9"/>
        </patternFill>
      </fill>
    </dxf>
    <dxf>
      <font>
        <b val="1"/>
      </font>
      <fill>
        <patternFill patternType="solid">
          <bgColor rgb="FF9DC3E6"/>
        </patternFill>
      </fill>
    </dxf>
    <dxf>
      <font>
        <b val="1"/>
      </font>
      <fill>
        <patternFill patternType="solid">
          <bgColor rgb="FFD9E1F2"/>
        </patternFill>
      </fill>
    </dxf>
    <dxf>
      <font>
        <b val="1"/>
      </font>
      <fill>
        <patternFill patternType="solid">
          <bgColor rgb="FFFFD966"/>
        </patternFill>
      </fill>
    </dxf>
    <dxf>
      <font>
        <b val="1"/>
        <color rgb="FF1F1F1F"/>
      </font>
      <fill>
        <patternFill patternType="solid">
          <fgColor rgb="FF9DC3E6"/>
        </patternFill>
      </fill>
    </dxf>
    <dxf>
      <font>
        <b val="1"/>
        <color rgb="FF1F1F1F"/>
      </font>
      <fill>
        <patternFill patternType="solid">
          <fgColor rgb="FFC9B2E6"/>
        </patternFill>
      </fill>
    </dxf>
    <dxf>
      <font>
        <b val="1"/>
        <color rgb="FF1F1F1F"/>
      </font>
      <fill>
        <patternFill patternType="solid">
          <fgColor rgb="FFA9D18E"/>
        </patternFill>
      </fill>
    </dxf>
    <dxf>
      <font>
        <b val="1"/>
        <color rgb="FF1F1F1F"/>
      </font>
      <fill>
        <patternFill patternType="solid">
          <fgColor rgb="FFF4B183"/>
        </patternFill>
      </fill>
    </dxf>
    <dxf>
      <font>
        <b val="1"/>
        <color rgb="FF1F1F1F"/>
      </font>
      <fill>
        <patternFill patternType="solid">
          <fgColor rgb="FFD9E1F2"/>
        </patternFill>
      </fill>
    </dxf>
    <dxf>
      <font>
        <b val="1"/>
        <color rgb="FF1F1F1F"/>
      </font>
      <fill>
        <patternFill patternType="solid">
          <fgColor rgb="FFF4B6C2"/>
        </patternFill>
      </fill>
    </dxf>
    <dxf>
      <font>
        <b val="1"/>
        <color rgb="FF1F1F1F"/>
      </font>
      <fill>
        <patternFill patternType="solid">
          <fgColor rgb="FFC9C0B5"/>
        </patternFill>
      </fill>
    </dxf>
    <dxf>
      <font>
        <b val="1"/>
        <color rgb="FF1F1F1F"/>
      </font>
      <fill>
        <patternFill patternType="solid">
          <fgColor rgb="FFFFE699"/>
        </patternFill>
      </fill>
    </dxf>
    <dxf>
      <font>
        <b val="1"/>
        <color rgb="FF1F1F1F"/>
      </font>
      <fill>
        <patternFill patternType="solid">
          <fgColor rgb="FFC6E0B4"/>
        </patternFill>
      </fill>
    </dxf>
    <dxf>
      <font>
        <b val="1"/>
        <color rgb="FF1F1F1F"/>
      </font>
      <fill>
        <patternFill patternType="solid">
          <fgColor rgb="FFDDEBF7"/>
        </patternFill>
      </fill>
    </dxf>
    <dxf>
      <font>
        <b val="1"/>
        <color rgb="FF1F1F1F"/>
      </font>
      <fill>
        <patternFill patternType="solid">
          <fgColor rgb="FFD9D9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5B9BD5"/>
    <outlinePr summaryBelow="1" summaryRight="1"/>
    <pageSetUpPr fitToPage="1"/>
  </sheetPr>
  <dimension ref="A1:Z234"/>
  <sheetViews>
    <sheetView showGridLines="0" tabSelected="1" workbookViewId="0">
      <pane ySplit="4" topLeftCell="A60" activePane="bottomLeft" state="frozen"/>
      <selection activeCell="A1" sqref="A1"/>
      <selection pane="bottomLeft" activeCell="W74" sqref="W74"/>
    </sheetView>
  </sheetViews>
  <sheetFormatPr baseColWidth="8" defaultColWidth="9" defaultRowHeight="14.25"/>
  <cols>
    <col width="8.75" customWidth="1" style="14" min="1" max="1"/>
    <col width="10.25" customWidth="1" style="14" min="2" max="3"/>
    <col width="8.75" customWidth="1" style="14" min="4" max="4"/>
    <col width="20.375" customWidth="1" style="14" min="5" max="5"/>
    <col width="62.875" customWidth="1" style="41" min="6" max="6"/>
    <col width="9.625" customWidth="1" style="14" min="7" max="7"/>
    <col width="10.625" customWidth="1" style="14" min="8" max="8"/>
    <col width="9.25" customWidth="1" style="14" min="9" max="9"/>
    <col width="16.75" customWidth="1" style="14" min="10" max="10"/>
    <col width="8.75" customWidth="1" style="14" min="11" max="11"/>
    <col width="24" customWidth="1" style="14" min="12" max="12"/>
    <col width="5.875" customWidth="1" min="13" max="13"/>
    <col width="9" customWidth="1" style="14" min="14" max="14"/>
    <col width="12.875" customWidth="1" style="14" min="15" max="15"/>
    <col width="5.125" customWidth="1" style="14" min="16" max="16"/>
    <col width="9" customWidth="1" style="14" min="17" max="18"/>
    <col width="13.75" customWidth="1" style="14" min="19" max="19"/>
    <col width="9" customWidth="1" style="14" min="20" max="16384"/>
  </cols>
  <sheetData>
    <row r="1" ht="36" customHeight="1">
      <c r="A1" s="15" t="inlineStr">
        <is>
          <t>2026 盛夏 · 上海深圳香港昆明大理轻松旅行计划</t>
        </is>
      </c>
    </row>
    <row r="2" ht="24.95" customHeight="1">
      <c r="A2" s="16" t="inlineStr">
        <is>
          <t>计划日期</t>
        </is>
      </c>
      <c r="B2" s="46" t="n">
        <v>46236</v>
      </c>
      <c r="C2" s="46" t="n">
        <v>46242</v>
      </c>
      <c r="D2" s="16" t="inlineStr">
        <is>
          <t>人数</t>
        </is>
      </c>
      <c r="E2" s="18" t="n">
        <v>2</v>
      </c>
      <c r="G2" s="16" t="inlineStr">
        <is>
          <t>预计总消费</t>
        </is>
      </c>
      <c r="H2" s="47">
        <f>SUM(I8:I233)</f>
        <v/>
      </c>
      <c r="J2" s="16" t="inlineStr">
        <is>
          <t>待办数量</t>
        </is>
      </c>
      <c r="K2" s="18">
        <f>COUNTIF(K20:K233,"待购买")+COUNTIF(K20:K233,"待预约")</f>
        <v/>
      </c>
    </row>
    <row r="3" ht="21" customHeight="1">
      <c r="A3" s="20" t="inlineStr">
        <is>
          <t>慢节奏原则：每天只安排 1–2 个核心区域；费用暂未填写，后续在 G/H 列补充后可自动汇总。</t>
        </is>
      </c>
    </row>
    <row r="4" ht="26.1" customHeight="1">
      <c r="A4" s="21" t="inlineStr">
        <is>
          <t>日期</t>
        </is>
      </c>
      <c r="B4" s="21" t="inlineStr">
        <is>
          <t>开始</t>
        </is>
      </c>
      <c r="C4" s="21" t="inlineStr">
        <is>
          <t>结束</t>
        </is>
      </c>
      <c r="D4" s="21" t="inlineStr">
        <is>
          <t>类型</t>
        </is>
      </c>
      <c r="E4" s="21" t="inlineStr">
        <is>
          <t>项目</t>
        </is>
      </c>
      <c r="F4" s="42" t="inlineStr">
        <is>
          <t>路线 / 备注</t>
        </is>
      </c>
      <c r="G4" s="21" t="inlineStr">
        <is>
          <t>单价</t>
        </is>
      </c>
      <c r="H4" s="21" t="inlineStr">
        <is>
          <t>数量</t>
        </is>
      </c>
      <c r="I4" s="21" t="inlineStr">
        <is>
          <t>消费</t>
        </is>
      </c>
      <c r="J4" s="21" t="inlineStr">
        <is>
          <t>开售 / 预约时间</t>
        </is>
      </c>
      <c r="K4" s="21" t="inlineStr">
        <is>
          <t>状态</t>
        </is>
      </c>
      <c r="L4" s="42" t="inlineStr">
        <is>
          <t>地点 / 地图关键词</t>
        </is>
      </c>
    </row>
    <row r="5" ht="27" customHeight="1">
      <c r="A5" s="22" t="inlineStr">
        <is>
          <t>8月2日周日   苏州→ 上海 → 深圳 → 香港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24.95" customHeight="1">
      <c r="A6" s="48" t="n">
        <v>46236</v>
      </c>
      <c r="B6" s="49" t="n">
        <v>0.2638888888888889</v>
      </c>
      <c r="C6" s="49" t="n">
        <v>0.2847222222222222</v>
      </c>
      <c r="D6" s="26" t="inlineStr">
        <is>
          <t>日常</t>
        </is>
      </c>
      <c r="E6" s="27" t="inlineStr">
        <is>
          <t>起床</t>
        </is>
      </c>
      <c r="F6" s="27" t="n"/>
      <c r="G6" s="50" t="n">
        <v>0</v>
      </c>
      <c r="H6" s="29" t="n">
        <v>0</v>
      </c>
      <c r="I6" s="50">
        <f>IF(OR(G6="",H6=""),"",G6*H6)</f>
        <v/>
      </c>
      <c r="J6" s="43" t="n"/>
      <c r="K6" s="26" t="inlineStr">
        <is>
          <t>无需预订</t>
        </is>
      </c>
    </row>
    <row r="7" ht="24.95" customHeight="1">
      <c r="A7" s="48" t="n">
        <v>46236</v>
      </c>
      <c r="B7" s="49" t="n">
        <v>0.2916666666666667</v>
      </c>
      <c r="C7" s="49" t="n">
        <v>0.2986111111111111</v>
      </c>
      <c r="D7" s="26" t="inlineStr">
        <is>
          <t>交通</t>
        </is>
      </c>
      <c r="E7" s="27" t="inlineStr">
        <is>
          <t>打车</t>
        </is>
      </c>
      <c r="F7" s="27" t="inlineStr">
        <is>
          <t>家 →  苏州园区</t>
        </is>
      </c>
      <c r="G7" s="50" t="n">
        <v>10</v>
      </c>
      <c r="H7" s="29" t="n">
        <v>1</v>
      </c>
      <c r="I7" s="50">
        <f>IF(OR(G7="",H7=""),"",G7*H7)</f>
        <v/>
      </c>
      <c r="J7" s="43" t="n"/>
      <c r="K7" s="26" t="inlineStr">
        <is>
          <t>无需预订</t>
        </is>
      </c>
      <c r="L7" t="inlineStr">
        <is>
          <t>苏州园区站</t>
        </is>
      </c>
    </row>
    <row r="8" ht="24.95" customHeight="1">
      <c r="A8" s="48" t="n">
        <v>46236</v>
      </c>
      <c r="B8" s="49" t="n">
        <v>0.3111111111111111</v>
      </c>
      <c r="C8" s="49" t="n">
        <v>0.3326388888888889</v>
      </c>
      <c r="D8" s="26" t="inlineStr">
        <is>
          <t>交通</t>
        </is>
      </c>
      <c r="E8" s="27" t="inlineStr">
        <is>
          <t>高铁</t>
        </is>
      </c>
      <c r="F8" s="27" t="inlineStr">
        <is>
          <t>G7503 苏州园区 → 上海虹桥</t>
        </is>
      </c>
      <c r="G8" s="50" t="n">
        <v>38</v>
      </c>
      <c r="H8" s="29" t="n">
        <v>2</v>
      </c>
      <c r="I8" s="50">
        <f>IF(OR(G8="",H8=""),"",G8*H8)</f>
        <v/>
      </c>
      <c r="J8" s="43" t="n">
        <v>46235</v>
      </c>
      <c r="K8" s="26" t="inlineStr">
        <is>
          <t>待购买</t>
        </is>
      </c>
      <c r="L8" t="inlineStr">
        <is>
          <t>上海虹桥站</t>
        </is>
      </c>
    </row>
    <row r="9" ht="24.95" customHeight="1">
      <c r="A9" s="48" t="n">
        <v>46236</v>
      </c>
      <c r="B9" s="51" t="n">
        <v>0.4097222222222222</v>
      </c>
      <c r="C9" s="51" t="n">
        <v>0.5138888888888888</v>
      </c>
      <c r="D9" s="26" t="inlineStr">
        <is>
          <t>交通</t>
        </is>
      </c>
      <c r="E9" s="27" t="inlineStr">
        <is>
          <t>飞机</t>
        </is>
      </c>
      <c r="F9" s="27" t="inlineStr">
        <is>
          <t>HO1883 上海虹桥 → 深圳宝安</t>
        </is>
      </c>
      <c r="G9" s="50" t="n">
        <v>866</v>
      </c>
      <c r="H9" s="29" t="n">
        <v>2</v>
      </c>
      <c r="I9" s="50">
        <f>IF(OR(G9="",H9=""),"",G9*H9)</f>
        <v/>
      </c>
      <c r="J9" s="52" t="n"/>
      <c r="K9" s="26" t="inlineStr">
        <is>
          <t>已购买</t>
        </is>
      </c>
      <c r="L9" t="inlineStr">
        <is>
          <t>深圳宝安国际机场</t>
        </is>
      </c>
    </row>
    <row r="10" ht="24.95" customHeight="1">
      <c r="A10" s="48" t="n">
        <v>46236</v>
      </c>
      <c r="B10" s="49" t="n">
        <v>0.5416666666666666</v>
      </c>
      <c r="C10" s="49" t="n">
        <v>0.5694444444444444</v>
      </c>
      <c r="D10" s="26" t="inlineStr">
        <is>
          <t>交通</t>
        </is>
      </c>
      <c r="E10" s="27" t="inlineStr">
        <is>
          <t>地铁</t>
        </is>
      </c>
      <c r="F10" s="27" t="inlineStr">
        <is>
          <t>深圳宝安机场 → 福田站</t>
        </is>
      </c>
      <c r="G10" s="50" t="n">
        <v>8</v>
      </c>
      <c r="H10" s="29" t="n">
        <v>0</v>
      </c>
      <c r="I10" s="50">
        <f>IF(OR(G10="",H10=""),"",G10*H10)</f>
        <v/>
      </c>
      <c r="J10" s="52" t="n"/>
      <c r="K10" s="26" t="inlineStr">
        <is>
          <t>无需预订</t>
        </is>
      </c>
      <c r="L10" t="inlineStr">
        <is>
          <t>福田站</t>
        </is>
      </c>
    </row>
    <row r="11" ht="24.95" customHeight="1">
      <c r="A11" s="48" t="n">
        <v>46236</v>
      </c>
      <c r="B11" s="49" t="n">
        <v>0.5694444444444444</v>
      </c>
      <c r="C11" s="49" t="n">
        <v>0.5972222222222222</v>
      </c>
      <c r="D11" s="26" t="inlineStr">
        <is>
          <t>交通</t>
        </is>
      </c>
      <c r="E11" s="27" t="inlineStr">
        <is>
          <t>高铁</t>
        </is>
      </c>
      <c r="F11" s="27" t="inlineStr">
        <is>
          <t>过关候车</t>
        </is>
      </c>
      <c r="G11" s="50" t="n">
        <v>0</v>
      </c>
      <c r="H11" s="29" t="n">
        <v>1</v>
      </c>
      <c r="I11" s="50">
        <f>IF(OR(G11="",H11=""),"",G11*H11)</f>
        <v/>
      </c>
      <c r="J11" s="52" t="n"/>
      <c r="K11" s="26" t="inlineStr">
        <is>
          <t>无需预订</t>
        </is>
      </c>
    </row>
    <row r="12" ht="24.95" customHeight="1">
      <c r="A12" s="48" t="n">
        <v>46236</v>
      </c>
      <c r="B12" s="49" t="n">
        <v>0.6041666666666666</v>
      </c>
      <c r="C12" s="49" t="n">
        <v>0.6180555555555556</v>
      </c>
      <c r="D12" s="26" t="inlineStr">
        <is>
          <t>交通</t>
        </is>
      </c>
      <c r="E12" s="27" t="inlineStr">
        <is>
          <t>高铁</t>
        </is>
      </c>
      <c r="F12" s="27" t="inlineStr">
        <is>
          <t>福田站 → 九龙</t>
        </is>
      </c>
      <c r="G12" s="50" t="n">
        <v>68</v>
      </c>
      <c r="H12" s="29" t="n">
        <v>2</v>
      </c>
      <c r="I12" s="50">
        <f>IF(OR(G12="",H12=""),"",G12*H12)</f>
        <v/>
      </c>
      <c r="J12" s="43" t="n">
        <v>46236.58333333334</v>
      </c>
      <c r="K12" s="26" t="inlineStr">
        <is>
          <t>待购买</t>
        </is>
      </c>
      <c r="L12" t="inlineStr">
        <is>
          <t>香港西九龙站</t>
        </is>
      </c>
    </row>
    <row r="13" ht="24.95" customHeight="1">
      <c r="A13" s="48" t="n">
        <v>46236</v>
      </c>
      <c r="B13" s="49" t="n">
        <v>0.625</v>
      </c>
      <c r="C13" s="49" t="n">
        <v>0.6388888888888888</v>
      </c>
      <c r="D13" s="26" t="inlineStr">
        <is>
          <t>交通</t>
        </is>
      </c>
      <c r="E13" s="27" t="inlineStr">
        <is>
          <t>地铁</t>
        </is>
      </c>
      <c r="F13" s="27" t="inlineStr">
        <is>
          <t>九龙  → 酒店</t>
        </is>
      </c>
      <c r="G13" s="50" t="n">
        <v>4</v>
      </c>
      <c r="H13" s="29" t="n">
        <v>2</v>
      </c>
      <c r="I13" s="50">
        <f>IF(OR(G13="",H13=""),"",G13*H13)</f>
        <v/>
      </c>
      <c r="J13" s="52" t="n"/>
      <c r="K13" s="26" t="inlineStr">
        <is>
          <t>无需预订</t>
        </is>
      </c>
    </row>
    <row r="14" ht="24.95" customHeight="1">
      <c r="A14" s="48" t="n">
        <v>46236</v>
      </c>
      <c r="B14" s="49" t="n">
        <v>0.6458333333333334</v>
      </c>
      <c r="C14" s="49" t="n">
        <v>0.6527777777777778</v>
      </c>
      <c r="D14" s="26" t="inlineStr">
        <is>
          <t>住宿</t>
        </is>
      </c>
      <c r="E14" s="27" t="inlineStr">
        <is>
          <t>入住</t>
        </is>
      </c>
      <c r="F14" s="27" t="inlineStr">
        <is>
          <t>都会海逸</t>
        </is>
      </c>
      <c r="G14" s="50" t="n">
        <v>716.89</v>
      </c>
      <c r="H14" s="29" t="n">
        <v>1</v>
      </c>
      <c r="I14" s="50">
        <f>IF(OR(G14="",H14=""),"",G14*H14)</f>
        <v/>
      </c>
      <c r="J14" s="52" t="n"/>
      <c r="K14" s="26" t="inlineStr">
        <is>
          <t>已购买</t>
        </is>
      </c>
      <c r="L14" t="inlineStr">
        <is>
          <t>香港都会海逸酒店</t>
        </is>
      </c>
    </row>
    <row r="15" ht="24.95" customHeight="1">
      <c r="A15" s="48" t="n">
        <v>46236</v>
      </c>
      <c r="B15" s="49" t="n"/>
      <c r="C15" s="49" t="n"/>
      <c r="D15" s="26" t="inlineStr">
        <is>
          <t>交通</t>
        </is>
      </c>
      <c r="E15" s="27" t="n"/>
      <c r="F15" s="27" t="n"/>
      <c r="G15" s="50" t="n"/>
      <c r="H15" s="29" t="n"/>
      <c r="I15" s="50">
        <f>IF(OR(G15="",H15=""),"",G15*H15)</f>
        <v/>
      </c>
      <c r="J15" s="52" t="n"/>
      <c r="K15" s="26" t="inlineStr">
        <is>
          <t>无需预订</t>
        </is>
      </c>
    </row>
    <row r="16" ht="24.95" customHeight="1">
      <c r="A16" s="48" t="n">
        <v>46236</v>
      </c>
      <c r="B16" s="49" t="n"/>
      <c r="C16" s="49" t="n"/>
      <c r="D16" s="26" t="inlineStr">
        <is>
          <t>游览</t>
        </is>
      </c>
      <c r="E16" s="27" t="n"/>
      <c r="F16" s="27" t="n"/>
      <c r="G16" s="50" t="n"/>
      <c r="H16" s="29" t="n"/>
      <c r="I16" s="50">
        <f>IF(OR(G16="",H16=""),"",G16*H16)</f>
        <v/>
      </c>
      <c r="J16" s="52" t="n"/>
      <c r="K16" s="26" t="inlineStr">
        <is>
          <t>无需预订</t>
        </is>
      </c>
    </row>
    <row r="17" ht="24.95" customHeight="1">
      <c r="A17" s="48" t="n">
        <v>46236</v>
      </c>
      <c r="B17" s="49" t="n"/>
      <c r="C17" s="49" t="n"/>
      <c r="D17" s="26" t="inlineStr">
        <is>
          <t>交通</t>
        </is>
      </c>
      <c r="E17" s="27" t="n"/>
      <c r="F17" s="27" t="n"/>
      <c r="G17" s="50" t="n"/>
      <c r="H17" s="29" t="n"/>
      <c r="I17" s="50">
        <f>IF(OR(G17="",H17=""),"",G17*H17)</f>
        <v/>
      </c>
      <c r="J17" s="52" t="n"/>
      <c r="K17" s="26" t="inlineStr">
        <is>
          <t>无需预订</t>
        </is>
      </c>
    </row>
    <row r="18" ht="24.95" customHeight="1">
      <c r="A18" s="48" t="n">
        <v>46236</v>
      </c>
      <c r="B18" s="49" t="n"/>
      <c r="C18" s="49" t="n"/>
      <c r="D18" s="26" t="inlineStr">
        <is>
          <t>餐饮</t>
        </is>
      </c>
      <c r="E18" s="27" t="n"/>
      <c r="F18" s="27" t="n"/>
      <c r="G18" s="50" t="n"/>
      <c r="H18" s="29" t="n"/>
      <c r="I18" s="50">
        <f>IF(OR(G18="",H18=""),"",G18*H18)</f>
        <v/>
      </c>
      <c r="J18" s="52" t="n"/>
      <c r="K18" s="26" t="inlineStr">
        <is>
          <t>无需预订</t>
        </is>
      </c>
    </row>
    <row r="19" ht="24.95" customHeight="1">
      <c r="A19" s="48" t="n">
        <v>46236</v>
      </c>
      <c r="B19" s="49" t="n"/>
      <c r="C19" s="49" t="n"/>
      <c r="D19" s="26" t="inlineStr">
        <is>
          <t>交通</t>
        </is>
      </c>
      <c r="E19" s="27" t="n"/>
      <c r="F19" s="27" t="n"/>
      <c r="G19" s="50" t="n"/>
      <c r="H19" s="29" t="n"/>
      <c r="I19" s="50">
        <f>IF(OR(G19="",H19=""),"",G19*H19)</f>
        <v/>
      </c>
      <c r="J19" s="52" t="n"/>
      <c r="K19" s="26" t="inlineStr">
        <is>
          <t>无需预订</t>
        </is>
      </c>
    </row>
    <row r="20" ht="27" customHeight="1">
      <c r="A20" s="22" t="inlineStr">
        <is>
          <t>8月3日周一  香港 → 深圳 → 昆明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 ht="24.95" customHeight="1">
      <c r="A21" s="48" t="n">
        <v>46237</v>
      </c>
      <c r="B21" s="49" t="n">
        <v>0.3333333333333333</v>
      </c>
      <c r="C21" s="49" t="n">
        <v>0.3472222222222222</v>
      </c>
      <c r="D21" s="26" t="inlineStr">
        <is>
          <t>日常</t>
        </is>
      </c>
      <c r="E21" s="27" t="inlineStr">
        <is>
          <t>起床</t>
        </is>
      </c>
      <c r="F21" s="27" t="n"/>
      <c r="G21" s="50" t="n">
        <v>0</v>
      </c>
      <c r="H21" s="29" t="n">
        <v>0</v>
      </c>
      <c r="I21" s="50">
        <f>IF(OR(G21="",H21=""),"",G21*H21)</f>
        <v/>
      </c>
      <c r="J21" s="43" t="n"/>
      <c r="K21" s="26" t="inlineStr">
        <is>
          <t>无需预订</t>
        </is>
      </c>
    </row>
    <row r="22" ht="24.95" customHeight="1">
      <c r="A22" s="48" t="n">
        <v>46237</v>
      </c>
      <c r="B22" s="49" t="n">
        <v>0.3541666666666667</v>
      </c>
      <c r="C22" s="49" t="n">
        <v>0.375</v>
      </c>
      <c r="D22" s="26" t="inlineStr">
        <is>
          <t>餐饮</t>
        </is>
      </c>
      <c r="E22" s="27" t="inlineStr">
        <is>
          <t>早餐</t>
        </is>
      </c>
      <c r="F22" s="27" t="n"/>
      <c r="G22" s="50" t="n"/>
      <c r="H22" s="29" t="n"/>
      <c r="I22" s="50">
        <f>IF(OR(G22="",H22=""),"",G22*H22)</f>
        <v/>
      </c>
      <c r="J22" s="52" t="n"/>
      <c r="K22" s="26" t="inlineStr">
        <is>
          <t>无需预订</t>
        </is>
      </c>
    </row>
    <row r="23" ht="24.95" customHeight="1">
      <c r="A23" s="48" t="n">
        <v>46237</v>
      </c>
      <c r="B23" s="49" t="n">
        <v>0.375</v>
      </c>
      <c r="C23" s="49" t="n">
        <v>0.3958333333333333</v>
      </c>
      <c r="D23" s="26" t="inlineStr">
        <is>
          <t>交通</t>
        </is>
      </c>
      <c r="E23" s="27" t="n"/>
      <c r="F23" s="27" t="n"/>
      <c r="G23" s="50" t="n"/>
      <c r="H23" s="29" t="n"/>
      <c r="I23" s="50">
        <f>IF(OR(G23="",H23=""),"",G23*H23)</f>
        <v/>
      </c>
      <c r="J23" s="52" t="n"/>
      <c r="K23" s="26" t="inlineStr">
        <is>
          <t>无需预订</t>
        </is>
      </c>
    </row>
    <row r="24" ht="24.95" customHeight="1">
      <c r="A24" s="48" t="n">
        <v>46237</v>
      </c>
      <c r="B24" s="49" t="n">
        <v>0.4513888888888889</v>
      </c>
      <c r="C24" s="49" t="n">
        <v>0.4583333333333333</v>
      </c>
      <c r="D24" s="26" t="inlineStr">
        <is>
          <t>住宿</t>
        </is>
      </c>
      <c r="E24" s="27" t="inlineStr">
        <is>
          <t>退房</t>
        </is>
      </c>
      <c r="F24" s="27" t="n"/>
      <c r="G24" s="50" t="n"/>
      <c r="H24" s="29" t="n"/>
      <c r="I24" s="50">
        <f>IF(OR(G24="",H24=""),"",G24*H24)</f>
        <v/>
      </c>
      <c r="J24" s="52" t="n"/>
      <c r="K24" s="26" t="inlineStr">
        <is>
          <t>无需预订</t>
        </is>
      </c>
    </row>
    <row r="25" ht="24.95" customHeight="1">
      <c r="A25" s="48" t="n">
        <v>46237</v>
      </c>
      <c r="B25" s="49" t="n"/>
      <c r="C25" s="49" t="n"/>
      <c r="D25" s="26" t="inlineStr">
        <is>
          <t>游览</t>
        </is>
      </c>
      <c r="E25" s="27" t="n"/>
      <c r="F25" s="27" t="n"/>
      <c r="G25" s="50" t="n"/>
      <c r="H25" s="29" t="n"/>
      <c r="I25" s="50">
        <f>IF(OR(G25="",H25=""),"",G25*H25)</f>
        <v/>
      </c>
      <c r="J25" s="52" t="n"/>
      <c r="K25" s="26" t="inlineStr">
        <is>
          <t>无需预订</t>
        </is>
      </c>
    </row>
    <row r="26" ht="24.95" customHeight="1">
      <c r="A26" s="48" t="n">
        <v>46237</v>
      </c>
      <c r="B26" s="49" t="n"/>
      <c r="C26" s="49" t="n"/>
      <c r="D26" s="26" t="inlineStr">
        <is>
          <t>交通</t>
        </is>
      </c>
      <c r="E26" s="27" t="n"/>
      <c r="F26" s="27" t="n"/>
      <c r="G26" s="50" t="n"/>
      <c r="H26" s="29" t="n"/>
      <c r="I26" s="50">
        <f>IF(OR(G26="",H26=""),"",G26*H26)</f>
        <v/>
      </c>
      <c r="J26" s="52" t="n"/>
      <c r="K26" s="26" t="inlineStr">
        <is>
          <t>无需预订</t>
        </is>
      </c>
    </row>
    <row r="27" ht="24.95" customHeight="1">
      <c r="A27" s="48" t="n">
        <v>46237</v>
      </c>
      <c r="B27" s="49" t="n"/>
      <c r="C27" s="49" t="n"/>
      <c r="D27" s="26" t="inlineStr">
        <is>
          <t>餐饮</t>
        </is>
      </c>
      <c r="E27" s="27" t="n"/>
      <c r="F27" s="27" t="n"/>
      <c r="G27" s="50" t="n"/>
      <c r="H27" s="29" t="n"/>
      <c r="I27" s="50">
        <f>IF(OR(G27="",H27=""),"",G27*H27)</f>
        <v/>
      </c>
      <c r="J27" s="52" t="n"/>
      <c r="K27" s="26" t="inlineStr">
        <is>
          <t>无需预订</t>
        </is>
      </c>
    </row>
    <row r="28" ht="24.95" customHeight="1">
      <c r="A28" s="48" t="n">
        <v>46237</v>
      </c>
      <c r="B28" s="49" t="n"/>
      <c r="C28" s="49" t="n"/>
      <c r="D28" s="26" t="inlineStr">
        <is>
          <t>交通</t>
        </is>
      </c>
      <c r="E28" s="27" t="n"/>
      <c r="F28" s="27" t="n"/>
      <c r="G28" s="50" t="n"/>
      <c r="H28" s="29" t="n"/>
      <c r="I28" s="50">
        <f>IF(OR(G28="",H28=""),"",G28*H28)</f>
        <v/>
      </c>
      <c r="J28" s="52" t="n"/>
      <c r="K28" s="26" t="inlineStr">
        <is>
          <t>无需预订</t>
        </is>
      </c>
    </row>
    <row r="29" ht="24.95" customHeight="1">
      <c r="A29" s="48" t="n">
        <v>46237</v>
      </c>
      <c r="B29" s="49" t="n">
        <v>0.6111111111111112</v>
      </c>
      <c r="C29" s="49" t="n">
        <v>0.6180555555555556</v>
      </c>
      <c r="D29" s="26" t="inlineStr">
        <is>
          <t>住宿</t>
        </is>
      </c>
      <c r="E29" s="27" t="inlineStr">
        <is>
          <t>退房</t>
        </is>
      </c>
      <c r="F29" s="27" t="inlineStr">
        <is>
          <t>拿行李</t>
        </is>
      </c>
      <c r="G29" s="50" t="n"/>
      <c r="H29" s="29" t="n"/>
      <c r="I29" s="50">
        <f>IF(OR(G29="",H29=""),"",G29*H29)</f>
        <v/>
      </c>
      <c r="J29" s="52" t="n"/>
      <c r="K29" s="26" t="inlineStr">
        <is>
          <t>无需预订</t>
        </is>
      </c>
    </row>
    <row r="30" ht="24.95" customHeight="1">
      <c r="A30" s="48" t="n">
        <v>46237</v>
      </c>
      <c r="B30" s="49" t="n">
        <v>0.6180555555555556</v>
      </c>
      <c r="C30" s="49" t="n">
        <v>0.6319444444444444</v>
      </c>
      <c r="D30" s="26" t="inlineStr">
        <is>
          <t>交通</t>
        </is>
      </c>
      <c r="E30" s="27" t="inlineStr">
        <is>
          <t>地铁</t>
        </is>
      </c>
      <c r="F30" s="27" t="inlineStr">
        <is>
          <t>酒店 → 西九龙</t>
        </is>
      </c>
      <c r="G30" s="50" t="n">
        <v>4</v>
      </c>
      <c r="H30" s="29" t="n">
        <v>2</v>
      </c>
      <c r="I30" s="50">
        <f>IF(OR(G30="",H30=""),"",G30*H30)</f>
        <v/>
      </c>
      <c r="J30" s="52" t="n"/>
      <c r="K30" s="26" t="inlineStr">
        <is>
          <t>无需预订</t>
        </is>
      </c>
      <c r="L30" t="inlineStr">
        <is>
          <t>香港西九龙站</t>
        </is>
      </c>
    </row>
    <row r="31" ht="24.95" customHeight="1">
      <c r="A31" s="48" t="n">
        <v>46237</v>
      </c>
      <c r="B31" s="49" t="n">
        <v>0.64375</v>
      </c>
      <c r="C31" s="49" t="n">
        <v>0.6534722222222222</v>
      </c>
      <c r="D31" s="26" t="inlineStr">
        <is>
          <t>交通</t>
        </is>
      </c>
      <c r="E31" s="27" t="inlineStr">
        <is>
          <t>高铁</t>
        </is>
      </c>
      <c r="F31" s="27" t="inlineStr">
        <is>
          <t>G5806 西九龙 → 福田</t>
        </is>
      </c>
      <c r="G31" s="50" t="n">
        <v>68</v>
      </c>
      <c r="H31" s="29" t="n">
        <v>2</v>
      </c>
      <c r="I31" s="50">
        <f>IF(OR(G31="",H31=""),"",G31*H31)</f>
        <v/>
      </c>
      <c r="J31" s="52" t="n"/>
      <c r="K31" s="26" t="inlineStr">
        <is>
          <t>待购买</t>
        </is>
      </c>
      <c r="L31" t="inlineStr">
        <is>
          <t>福田站</t>
        </is>
      </c>
    </row>
    <row r="32" ht="24.95" customHeight="1">
      <c r="A32" s="48" t="n">
        <v>46237</v>
      </c>
      <c r="B32" s="49" t="n">
        <v>0.6805555555555556</v>
      </c>
      <c r="C32" s="49" t="n">
        <v>0.7083333333333334</v>
      </c>
      <c r="D32" s="26" t="inlineStr">
        <is>
          <t>交通</t>
        </is>
      </c>
      <c r="E32" s="27" t="inlineStr">
        <is>
          <t>地铁</t>
        </is>
      </c>
      <c r="F32" s="27" t="inlineStr">
        <is>
          <t>福田 → 深圳宝安机场</t>
        </is>
      </c>
      <c r="G32" s="50" t="n">
        <v>8</v>
      </c>
      <c r="H32" s="29" t="n">
        <v>2</v>
      </c>
      <c r="I32" s="50">
        <f>IF(OR(G32="",H32=""),"",G32*H32)</f>
        <v/>
      </c>
      <c r="J32" s="52" t="n"/>
      <c r="K32" s="26" t="inlineStr">
        <is>
          <t>无需预订</t>
        </is>
      </c>
      <c r="L32" t="inlineStr">
        <is>
          <t>深圳宝安国际机场</t>
        </is>
      </c>
    </row>
    <row r="33" ht="24.95" customHeight="1">
      <c r="A33" s="48" t="n">
        <v>46237</v>
      </c>
      <c r="B33" s="51" t="n">
        <v>0.7673611111111112</v>
      </c>
      <c r="C33" s="51" t="n">
        <v>0.875</v>
      </c>
      <c r="D33" s="26" t="inlineStr">
        <is>
          <t>交通</t>
        </is>
      </c>
      <c r="E33" s="45" t="inlineStr">
        <is>
          <t>飞机</t>
        </is>
      </c>
      <c r="F33" s="45" t="inlineStr">
        <is>
          <t>CZ6923 深圳 → 昆明</t>
        </is>
      </c>
      <c r="G33" s="50" t="n">
        <v>1110</v>
      </c>
      <c r="H33" s="29" t="n">
        <v>2</v>
      </c>
      <c r="I33" s="50">
        <f>IF(OR(G33="",H33=""),"",G33*H33)</f>
        <v/>
      </c>
      <c r="J33" s="52" t="n"/>
      <c r="K33" s="26" t="inlineStr">
        <is>
          <t>已购买</t>
        </is>
      </c>
      <c r="L33" t="inlineStr">
        <is>
          <t>昆明长水国际机场</t>
        </is>
      </c>
    </row>
    <row r="34" ht="24.95" customHeight="1">
      <c r="A34" s="48" t="n">
        <v>46237</v>
      </c>
      <c r="B34" s="49" t="n">
        <v>0.8958333333333334</v>
      </c>
      <c r="C34" s="49" t="n">
        <v>0.9305555555555556</v>
      </c>
      <c r="D34" s="26" t="inlineStr">
        <is>
          <t>交通</t>
        </is>
      </c>
      <c r="E34" s="45" t="inlineStr">
        <is>
          <t>地铁</t>
        </is>
      </c>
      <c r="F34" s="45" t="inlineStr">
        <is>
          <t>6号线 3号线 机场中心 东部汽车站 五一路 A口</t>
        </is>
      </c>
      <c r="G34" s="50" t="n">
        <v>17</v>
      </c>
      <c r="H34" s="29" t="n">
        <v>0</v>
      </c>
      <c r="I34" s="50">
        <f>IF(OR(G34="",H34=""),"",G34*H34)</f>
        <v/>
      </c>
      <c r="J34" s="52" t="n"/>
      <c r="K34" s="26" t="inlineStr">
        <is>
          <t>无需预订</t>
        </is>
      </c>
    </row>
    <row r="35" ht="24.95" customHeight="1">
      <c r="A35" s="48" t="n">
        <v>46237</v>
      </c>
      <c r="B35" s="49" t="n">
        <v>0.9305555555555556</v>
      </c>
      <c r="C35" s="49" t="n">
        <v>0.9375</v>
      </c>
      <c r="D35" s="26" t="inlineStr">
        <is>
          <t>住宿</t>
        </is>
      </c>
      <c r="E35" s="27" t="inlineStr">
        <is>
          <t>入住酒店</t>
        </is>
      </c>
      <c r="F35" s="45" t="inlineStr">
        <is>
          <t>昆明南屏步行街老街桔子水晶酒店</t>
        </is>
      </c>
      <c r="G35" s="50" t="n">
        <v>548.29</v>
      </c>
      <c r="H35" s="29" t="n">
        <v>1</v>
      </c>
      <c r="I35" s="50">
        <f>IF(OR(G35="",H35=""),"",G35*H35)</f>
        <v/>
      </c>
      <c r="J35" s="52" t="n"/>
      <c r="K35" s="26" t="inlineStr">
        <is>
          <t>已购买</t>
        </is>
      </c>
      <c r="L35" t="inlineStr">
        <is>
          <t>昆明南屏步行街老街桔子水晶酒店</t>
        </is>
      </c>
    </row>
    <row r="36" ht="24.95" customHeight="1">
      <c r="A36" s="48" t="n">
        <v>46237</v>
      </c>
      <c r="B36" s="49" t="n">
        <v>0.9375</v>
      </c>
      <c r="C36" s="49" t="n">
        <v>0.9583333333333334</v>
      </c>
      <c r="D36" s="26" t="inlineStr">
        <is>
          <t>餐饮</t>
        </is>
      </c>
      <c r="E36" s="27" t="inlineStr">
        <is>
          <t>附近简单晚餐 / 宵夜</t>
        </is>
      </c>
      <c r="F36" s="27" t="inlineStr">
        <is>
          <t>过桥米线、汽锅鸡任选；若航班延误可直接休息</t>
        </is>
      </c>
      <c r="G36" s="50" t="n">
        <v>50</v>
      </c>
      <c r="H36" s="29" t="n">
        <v>2</v>
      </c>
      <c r="I36" s="50">
        <f>IF(OR(G36="",H36=""),"",G36*H36)</f>
        <v/>
      </c>
      <c r="J36" s="52" t="n"/>
      <c r="K36" s="26" t="inlineStr">
        <is>
          <t>无需预订</t>
        </is>
      </c>
    </row>
    <row r="37" ht="24.95" customHeight="1">
      <c r="A37" s="22" t="inlineStr">
        <is>
          <t>8月4日周二   昆明 → 大理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</row>
    <row r="38" ht="24.95" customHeight="1">
      <c r="A38" s="48" t="n">
        <v>46238</v>
      </c>
      <c r="B38" s="49" t="n">
        <v>0.3194444444444444</v>
      </c>
      <c r="C38" s="49" t="n">
        <v>0.3333333333333333</v>
      </c>
      <c r="D38" s="26" t="inlineStr">
        <is>
          <t>日常</t>
        </is>
      </c>
      <c r="E38" s="27" t="inlineStr">
        <is>
          <t>起床</t>
        </is>
      </c>
      <c r="F38" s="27" t="n"/>
      <c r="G38" s="50" t="n"/>
      <c r="H38" s="29" t="n"/>
      <c r="I38" s="50">
        <f>IF(OR(G38="",H38=""),"",G38*H38)</f>
        <v/>
      </c>
      <c r="J38" s="43" t="n"/>
      <c r="K38" s="26" t="inlineStr">
        <is>
          <t>无需预订</t>
        </is>
      </c>
    </row>
    <row r="39" ht="24.95" customHeight="1">
      <c r="A39" s="48" t="n">
        <v>46238</v>
      </c>
      <c r="B39" s="49" t="n">
        <v>0.3333333333333333</v>
      </c>
      <c r="C39" s="49" t="n">
        <v>0.3472222222222222</v>
      </c>
      <c r="D39" s="26" t="inlineStr">
        <is>
          <t>餐饮</t>
        </is>
      </c>
      <c r="E39" s="27" t="inlineStr">
        <is>
          <t>早餐</t>
        </is>
      </c>
      <c r="F39" s="27" t="inlineStr">
        <is>
          <t>酒店早餐</t>
        </is>
      </c>
      <c r="G39" s="50" t="n"/>
      <c r="H39" s="29" t="n"/>
      <c r="I39" s="50">
        <f>IF(OR(G39="",H39=""),"",G39*H39)</f>
        <v/>
      </c>
      <c r="J39" s="52" t="n"/>
      <c r="K39" s="26" t="inlineStr">
        <is>
          <t>无需预订</t>
        </is>
      </c>
    </row>
    <row r="40" ht="24.95" customHeight="1">
      <c r="A40" s="48" t="n">
        <v>46238</v>
      </c>
      <c r="B40" s="49" t="n">
        <v>0.3472222222222222</v>
      </c>
      <c r="C40" s="49" t="n">
        <v>0.3611111111111111</v>
      </c>
      <c r="D40" s="26" t="inlineStr">
        <is>
          <t>交通</t>
        </is>
      </c>
      <c r="E40" s="27" t="inlineStr">
        <is>
          <t>打车</t>
        </is>
      </c>
      <c r="F40" s="27" t="n"/>
      <c r="G40" s="50" t="n">
        <v>15</v>
      </c>
      <c r="H40" s="29" t="n">
        <v>1</v>
      </c>
      <c r="I40" s="50">
        <f>IF(OR(G40="",H40=""),"",G40*H40)</f>
        <v/>
      </c>
      <c r="J40" s="52" t="n"/>
      <c r="K40" s="26" t="inlineStr">
        <is>
          <t>无需预订</t>
        </is>
      </c>
    </row>
    <row r="41" ht="27" customHeight="1">
      <c r="A41" s="48" t="n">
        <v>46238</v>
      </c>
      <c r="B41" s="49" t="n">
        <v>0.3611111111111111</v>
      </c>
      <c r="C41" s="49" t="n">
        <v>0.4166666666666667</v>
      </c>
      <c r="D41" s="26" t="inlineStr">
        <is>
          <t>游览</t>
        </is>
      </c>
      <c r="E41" s="27" t="inlineStr">
        <is>
          <t>翠湖公园慢走</t>
        </is>
      </c>
      <c r="F41" s="27" t="inlineStr">
        <is>
          <t>可顺路看云南陆军讲武堂外观；下雨则改为云南省博物馆</t>
        </is>
      </c>
      <c r="G41" s="50" t="n"/>
      <c r="H41" s="29" t="n">
        <v>0</v>
      </c>
      <c r="I41" s="50">
        <f>IF(OR(G41="",H41=""),"",G41*H41)</f>
        <v/>
      </c>
      <c r="J41" s="52" t="n"/>
      <c r="K41" s="26" t="inlineStr">
        <is>
          <t>无需预订</t>
        </is>
      </c>
      <c r="L41" t="inlineStr">
        <is>
          <t>翠湖公园</t>
        </is>
      </c>
    </row>
    <row r="42" ht="27" customHeight="1">
      <c r="A42" s="48" t="n">
        <v>46238</v>
      </c>
      <c r="B42" s="49" t="n">
        <v>0.4166666666666667</v>
      </c>
      <c r="C42" s="49" t="n">
        <v>0.4305555555555556</v>
      </c>
      <c r="D42" s="26" t="inlineStr">
        <is>
          <t>交通</t>
        </is>
      </c>
      <c r="E42" s="27" t="inlineStr">
        <is>
          <t>打车</t>
        </is>
      </c>
      <c r="F42" s="27" t="n"/>
      <c r="G42" s="50" t="n">
        <v>10</v>
      </c>
      <c r="H42" s="29" t="n">
        <v>1</v>
      </c>
      <c r="I42" s="50">
        <f>IF(OR(G42="",H42=""),"",G42*H42)</f>
        <v/>
      </c>
      <c r="J42" s="52" t="n"/>
      <c r="K42" s="26" t="inlineStr">
        <is>
          <t>无需预订</t>
        </is>
      </c>
    </row>
    <row r="43" ht="24.95" customHeight="1">
      <c r="A43" s="48" t="n">
        <v>46238</v>
      </c>
      <c r="B43" s="49" t="n">
        <v>0.4305555555555556</v>
      </c>
      <c r="C43" s="49" t="n">
        <v>0.5</v>
      </c>
      <c r="D43" s="26" t="inlineStr">
        <is>
          <t>餐饮</t>
        </is>
      </c>
      <c r="E43" s="27" t="inlineStr">
        <is>
          <t>午餐</t>
        </is>
      </c>
      <c r="F43" s="27" t="inlineStr">
        <is>
          <t>昆明老街附近就餐，走回酒店</t>
        </is>
      </c>
      <c r="G43" s="50" t="n"/>
      <c r="H43" s="29" t="n">
        <v>0</v>
      </c>
      <c r="I43" s="50">
        <f>IF(OR(G43="",H43=""),"",G43*H43)</f>
        <v/>
      </c>
      <c r="J43" s="52" t="n"/>
      <c r="K43" s="26" t="inlineStr">
        <is>
          <t>无需预订</t>
        </is>
      </c>
    </row>
    <row r="44" ht="24.95" customHeight="1">
      <c r="A44" s="48" t="n">
        <v>46238</v>
      </c>
      <c r="B44" s="49" t="n">
        <v>0.5</v>
      </c>
      <c r="C44" s="49" t="n">
        <v>0.5</v>
      </c>
      <c r="D44" s="26" t="inlineStr">
        <is>
          <t>住宿</t>
        </is>
      </c>
      <c r="E44" s="27" t="inlineStr">
        <is>
          <t>退房</t>
        </is>
      </c>
      <c r="F44" s="27" t="inlineStr">
        <is>
          <t>休息后退房，延迟退房至15点</t>
        </is>
      </c>
      <c r="G44" s="50" t="n"/>
      <c r="H44" s="29" t="n">
        <v>0</v>
      </c>
      <c r="I44" s="50">
        <f>IF(OR(G44="",H44=""),"",G44*H44)</f>
        <v/>
      </c>
      <c r="J44" s="52" t="n"/>
      <c r="K44" s="26" t="inlineStr">
        <is>
          <t>无需预订</t>
        </is>
      </c>
    </row>
    <row r="45" ht="24.95" customHeight="1">
      <c r="A45" s="48" t="n">
        <v>46238</v>
      </c>
      <c r="B45" s="49" t="n">
        <v>0.5069444444444444</v>
      </c>
      <c r="C45" s="49" t="n">
        <v>0.5208333333333334</v>
      </c>
      <c r="D45" s="26" t="inlineStr">
        <is>
          <t>交通</t>
        </is>
      </c>
      <c r="E45" s="27" t="inlineStr">
        <is>
          <t>打车</t>
        </is>
      </c>
      <c r="F45" s="27" t="inlineStr">
        <is>
          <t>天气不好的话需要提前10分钟</t>
        </is>
      </c>
      <c r="G45" s="50" t="n"/>
      <c r="H45" s="29" t="n"/>
      <c r="I45" s="50">
        <f>IF(OR(G45="",H45=""),"",G45*H45)</f>
        <v/>
      </c>
      <c r="J45" s="52" t="n"/>
      <c r="K45" s="26" t="inlineStr">
        <is>
          <t>无需预订</t>
        </is>
      </c>
      <c r="L45" t="inlineStr">
        <is>
          <t>昆明站</t>
        </is>
      </c>
    </row>
    <row r="46" ht="24.95" customHeight="1">
      <c r="A46" s="48" t="n">
        <v>46238</v>
      </c>
      <c r="B46" s="51" t="n">
        <v>0.5409722222222222</v>
      </c>
      <c r="C46" s="51" t="n">
        <v>0.6291666666666667</v>
      </c>
      <c r="D46" s="26" t="inlineStr">
        <is>
          <t>交通</t>
        </is>
      </c>
      <c r="E46" s="27" t="inlineStr">
        <is>
          <t>高铁</t>
        </is>
      </c>
      <c r="F46" s="27" t="inlineStr">
        <is>
          <t>D3939 昆明 → 大理</t>
        </is>
      </c>
      <c r="G46" s="50" t="n">
        <v>145</v>
      </c>
      <c r="H46" s="29" t="n">
        <v>2</v>
      </c>
      <c r="I46" s="50">
        <f>IF(OR(G46="",H46=""),"",G46*H46)</f>
        <v/>
      </c>
      <c r="J46" s="52" t="n"/>
      <c r="K46" s="26" t="inlineStr">
        <is>
          <t>已购买</t>
        </is>
      </c>
      <c r="L46" t="inlineStr">
        <is>
          <t>大理站</t>
        </is>
      </c>
    </row>
    <row r="47" ht="24.95" customHeight="1">
      <c r="A47" s="48" t="n">
        <v>46238</v>
      </c>
      <c r="B47" s="49" t="n">
        <v>0.6319444444444444</v>
      </c>
      <c r="C47" s="49" t="n">
        <v>0.6458333333333334</v>
      </c>
      <c r="D47" s="26" t="inlineStr">
        <is>
          <t>交通</t>
        </is>
      </c>
      <c r="E47" s="27" t="inlineStr">
        <is>
          <t>打车</t>
        </is>
      </c>
      <c r="F47" s="27" t="inlineStr">
        <is>
          <t>大理站 → 酒店</t>
        </is>
      </c>
      <c r="G47" s="50" t="n">
        <v>10</v>
      </c>
      <c r="H47" s="29" t="n">
        <v>0</v>
      </c>
      <c r="I47" s="50">
        <f>IF(OR(G47="",H47=""),"",G47*H47)</f>
        <v/>
      </c>
      <c r="J47" s="52" t="n"/>
      <c r="K47" s="26" t="inlineStr">
        <is>
          <t>无需预订</t>
        </is>
      </c>
    </row>
    <row r="48" ht="24.95" customHeight="1">
      <c r="A48" s="48" t="n">
        <v>46238</v>
      </c>
      <c r="B48" s="49" t="n">
        <v>0.6458333333333334</v>
      </c>
      <c r="C48" s="49" t="n">
        <v>0.6527777777777778</v>
      </c>
      <c r="D48" s="26" t="inlineStr">
        <is>
          <t>住宿</t>
        </is>
      </c>
      <c r="E48" s="27" t="inlineStr">
        <is>
          <t>入住酒店</t>
        </is>
      </c>
      <c r="F48" s="27" t="inlineStr">
        <is>
          <t>大理洱海天域英迪格</t>
        </is>
      </c>
      <c r="G48" s="50" t="n">
        <v>1650</v>
      </c>
      <c r="H48" s="29" t="n">
        <v>1</v>
      </c>
      <c r="I48" s="50">
        <f>IF(OR(G48="",H48=""),"",G48*H48)</f>
        <v/>
      </c>
      <c r="J48" s="52" t="n"/>
      <c r="K48" s="26" t="inlineStr">
        <is>
          <t>已购买</t>
        </is>
      </c>
      <c r="L48" t="inlineStr">
        <is>
          <t>大理洱海天域英迪格酒店</t>
        </is>
      </c>
    </row>
    <row r="49" ht="24.95" customHeight="1">
      <c r="A49" s="48" t="n">
        <v>46238</v>
      </c>
      <c r="B49" s="49" t="n">
        <v>0.6527777777777778</v>
      </c>
      <c r="C49" s="49" t="n">
        <v>0.7083333333333334</v>
      </c>
      <c r="D49" s="26" t="inlineStr">
        <is>
          <t>日常</t>
        </is>
      </c>
      <c r="E49" s="27" t="inlineStr">
        <is>
          <t>休息</t>
        </is>
      </c>
      <c r="F49" s="27" t="inlineStr">
        <is>
          <t>酒店看海</t>
        </is>
      </c>
      <c r="G49" s="50" t="n"/>
      <c r="H49" s="29" t="n"/>
      <c r="I49" s="50" t="n"/>
      <c r="J49" s="52" t="n"/>
      <c r="K49" s="26" t="inlineStr">
        <is>
          <t>无需预订</t>
        </is>
      </c>
    </row>
    <row r="50" ht="24.95" customHeight="1">
      <c r="A50" s="48" t="n">
        <v>46238</v>
      </c>
      <c r="B50" s="49" t="n">
        <v>0.7083333333333334</v>
      </c>
      <c r="C50" s="49" t="n">
        <v>0.75</v>
      </c>
      <c r="D50" s="26" t="inlineStr">
        <is>
          <t>游览</t>
        </is>
      </c>
      <c r="E50" s="27" t="inlineStr">
        <is>
          <t>洱海公园</t>
        </is>
      </c>
      <c r="F50" s="27" t="inlineStr">
        <is>
          <t>洱海散步</t>
        </is>
      </c>
      <c r="G50" s="50" t="n"/>
      <c r="H50" s="29" t="n"/>
      <c r="I50" s="50" t="n"/>
      <c r="J50" s="52" t="n"/>
      <c r="K50" s="26" t="inlineStr">
        <is>
          <t>无需预订</t>
        </is>
      </c>
      <c r="L50" t="inlineStr">
        <is>
          <t>洱海公园</t>
        </is>
      </c>
    </row>
    <row r="51" ht="24.95" customHeight="1">
      <c r="A51" s="48" t="n">
        <v>46238</v>
      </c>
      <c r="B51" s="49" t="n">
        <v>0.8263888888888888</v>
      </c>
      <c r="C51" s="49" t="n">
        <v>0.8402777777777778</v>
      </c>
      <c r="D51" s="26" t="inlineStr">
        <is>
          <t>游览</t>
        </is>
      </c>
      <c r="E51" s="27" t="inlineStr">
        <is>
          <t>落日</t>
        </is>
      </c>
      <c r="F51" s="27" t="n"/>
      <c r="G51" s="50" t="n"/>
      <c r="H51" s="29" t="n"/>
      <c r="I51" s="50" t="n"/>
      <c r="J51" s="52" t="n"/>
      <c r="K51" s="26" t="inlineStr">
        <is>
          <t>无需预订</t>
        </is>
      </c>
    </row>
    <row r="52" ht="24.95" customHeight="1">
      <c r="A52" s="48" t="n">
        <v>46238</v>
      </c>
      <c r="B52" s="49" t="n">
        <v>0.8333333333333334</v>
      </c>
      <c r="C52" s="49" t="n">
        <v>0.875</v>
      </c>
      <c r="D52" s="26" t="inlineStr">
        <is>
          <t>餐饮</t>
        </is>
      </c>
      <c r="E52" s="27" t="inlineStr">
        <is>
          <t>晚餐</t>
        </is>
      </c>
      <c r="F52" s="27" t="n"/>
      <c r="G52" s="50" t="n"/>
      <c r="H52" s="29" t="n">
        <v>0</v>
      </c>
      <c r="I52" s="50">
        <f>IF(OR(G52="",H52=""),"",G52*H52)</f>
        <v/>
      </c>
      <c r="J52" s="52" t="n"/>
      <c r="K52" s="26" t="inlineStr">
        <is>
          <t>无需预订</t>
        </is>
      </c>
    </row>
    <row r="53" ht="24.95" customHeight="1">
      <c r="A53" s="22" t="inlineStr">
        <is>
          <t>8月5日周三   大理 · 喜洲与洱海西岸</t>
        </is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</row>
    <row r="54" ht="24.95" customHeight="1">
      <c r="A54" s="48" t="n">
        <v>46239</v>
      </c>
      <c r="B54" s="49" t="n">
        <v>0.375</v>
      </c>
      <c r="C54" s="49" t="n">
        <v>0.4166666666666667</v>
      </c>
      <c r="D54" s="26" t="inlineStr">
        <is>
          <t>餐饮</t>
        </is>
      </c>
      <c r="E54" s="27" t="inlineStr">
        <is>
          <t>早餐 / 早午餐</t>
        </is>
      </c>
      <c r="F54" s="27" t="inlineStr">
        <is>
          <t>酒店早餐</t>
        </is>
      </c>
      <c r="G54" s="50" t="n"/>
      <c r="H54" s="29" t="n">
        <v>0</v>
      </c>
      <c r="I54" s="50">
        <f>IF(OR(G54="",H54=""),"",G54*H54)</f>
        <v/>
      </c>
      <c r="J54" s="52" t="n"/>
      <c r="K54" s="26" t="inlineStr">
        <is>
          <t>无需预订</t>
        </is>
      </c>
    </row>
    <row r="55" ht="27" customHeight="1">
      <c r="A55" s="48" t="n">
        <v>46239</v>
      </c>
      <c r="B55" s="49" t="n">
        <v>0.4166666666666667</v>
      </c>
      <c r="C55" s="49" t="n">
        <v>0.4583333333333333</v>
      </c>
      <c r="D55" s="26" t="inlineStr">
        <is>
          <t>交通</t>
        </is>
      </c>
      <c r="E55" s="27" t="inlineStr">
        <is>
          <t>前往喜洲古镇</t>
        </is>
      </c>
      <c r="F55" s="27" t="inlineStr">
        <is>
          <t>建议打车或包车，减少换乘；车程约 40–50 分钟</t>
        </is>
      </c>
      <c r="G55" s="50" t="n"/>
      <c r="H55" s="29" t="n">
        <v>0</v>
      </c>
      <c r="I55" s="50">
        <f>IF(OR(G55="",H55=""),"",G55*H55)</f>
        <v/>
      </c>
      <c r="J55" s="52" t="n"/>
      <c r="K55" s="26" t="inlineStr">
        <is>
          <t>无需预订</t>
        </is>
      </c>
      <c r="L55" t="inlineStr">
        <is>
          <t>喜洲古镇</t>
        </is>
      </c>
    </row>
    <row r="56" ht="24.95" customHeight="1">
      <c r="A56" s="48" t="n">
        <v>46239</v>
      </c>
      <c r="B56" s="49" t="n">
        <v>0.4583333333333333</v>
      </c>
      <c r="C56" s="49" t="n">
        <v>0.5833333333333334</v>
      </c>
      <c r="D56" s="26" t="inlineStr">
        <is>
          <t>游览</t>
        </is>
      </c>
      <c r="E56" s="27" t="inlineStr">
        <is>
          <t>喜洲古镇</t>
        </is>
      </c>
      <c r="F56" s="27" t="inlineStr">
        <is>
          <t>严家大院周边、稻田边慢走；午餐尝喜洲粑粑和白族菜</t>
        </is>
      </c>
      <c r="G56" s="50" t="n"/>
      <c r="H56" s="29" t="n"/>
      <c r="I56" s="50">
        <f>IF(OR(G56="",H56=""),"",G56*H56)</f>
        <v/>
      </c>
      <c r="J56" s="52" t="n"/>
      <c r="K56" s="26" t="inlineStr">
        <is>
          <t>无需预订</t>
        </is>
      </c>
      <c r="L56" t="inlineStr">
        <is>
          <t>喜洲古镇</t>
        </is>
      </c>
    </row>
    <row r="57" ht="24.95" customHeight="1">
      <c r="A57" s="48" t="n">
        <v>46239</v>
      </c>
      <c r="B57" s="49" t="n">
        <v>0.6041666666666666</v>
      </c>
      <c r="C57" s="49" t="n">
        <v>0.6875</v>
      </c>
      <c r="D57" s="26" t="inlineStr">
        <is>
          <t>游览</t>
        </is>
      </c>
      <c r="E57" s="27" t="inlineStr">
        <is>
          <t>廊桥 / 生态廊道</t>
        </is>
      </c>
      <c r="F57" s="27" t="inlineStr">
        <is>
          <t>只选一小段散步或骑行 5–8 公里，不环洱海；雨大则改咖啡馆休息</t>
        </is>
      </c>
      <c r="G57" s="50" t="n"/>
      <c r="H57" s="29" t="n"/>
      <c r="I57" s="50">
        <f>IF(OR(G57="",H57=""),"",G57*H57)</f>
        <v/>
      </c>
      <c r="J57" s="52" t="n"/>
      <c r="K57" s="26" t="inlineStr">
        <is>
          <t>无需预订</t>
        </is>
      </c>
      <c r="L57" t="inlineStr">
        <is>
          <t>大理洱海生态廊道</t>
        </is>
      </c>
    </row>
    <row r="58" ht="24.95" customHeight="1">
      <c r="A58" s="48" t="n">
        <v>46239</v>
      </c>
      <c r="B58" s="49" t="n">
        <v>0.6875</v>
      </c>
      <c r="C58" s="49" t="n">
        <v>0.7291666666666666</v>
      </c>
      <c r="D58" s="26" t="inlineStr">
        <is>
          <t>交通</t>
        </is>
      </c>
      <c r="E58" s="27" t="inlineStr">
        <is>
          <t>返回酒店</t>
        </is>
      </c>
      <c r="F58" s="27" t="inlineStr">
        <is>
          <t>返程约 40–60 分钟</t>
        </is>
      </c>
      <c r="G58" s="50" t="n"/>
      <c r="H58" s="29" t="n"/>
      <c r="I58" s="50">
        <f>IF(OR(G58="",H58=""),"",G58*H58)</f>
        <v/>
      </c>
      <c r="J58" s="52" t="n"/>
      <c r="K58" s="26" t="inlineStr">
        <is>
          <t>无需预订</t>
        </is>
      </c>
    </row>
    <row r="59" ht="24.95" customHeight="1">
      <c r="A59" s="48" t="n">
        <v>46239</v>
      </c>
      <c r="B59" s="49" t="n"/>
      <c r="C59" s="49" t="n"/>
      <c r="D59" s="26" t="n"/>
      <c r="E59" s="27" t="n"/>
      <c r="F59" s="27" t="n"/>
      <c r="G59" s="50" t="n"/>
      <c r="H59" s="29" t="n"/>
      <c r="I59" s="50">
        <f>IF(OR(G59="",H59=""),"",G59*H59)</f>
        <v/>
      </c>
      <c r="J59" s="52" t="n"/>
      <c r="K59" s="26" t="inlineStr">
        <is>
          <t>无需预订</t>
        </is>
      </c>
    </row>
    <row r="60" ht="24.95" customHeight="1">
      <c r="A60" s="48" t="n">
        <v>46239</v>
      </c>
      <c r="B60" s="49" t="n"/>
      <c r="C60" s="49" t="n"/>
      <c r="D60" s="26" t="inlineStr">
        <is>
          <t>住宿</t>
        </is>
      </c>
      <c r="E60" s="27" t="inlineStr">
        <is>
          <t>入住酒店</t>
        </is>
      </c>
      <c r="F60" s="27" t="inlineStr">
        <is>
          <t>大理古城三月街亚朵见野</t>
        </is>
      </c>
      <c r="G60" s="50" t="n">
        <v>989.5</v>
      </c>
      <c r="H60" s="29" t="n">
        <v>2</v>
      </c>
      <c r="I60" s="50">
        <f>IF(OR(G60="",H60=""),"",G60*H60)</f>
        <v/>
      </c>
      <c r="J60" s="52" t="n"/>
      <c r="K60" s="26" t="inlineStr">
        <is>
          <t>已购买</t>
        </is>
      </c>
      <c r="L60" t="inlineStr">
        <is>
          <t>大理古城三月街亚朵见野酒店</t>
        </is>
      </c>
    </row>
    <row r="61" ht="24.95" customHeight="1">
      <c r="A61" s="48" t="n">
        <v>46239</v>
      </c>
      <c r="B61" s="49" t="n"/>
      <c r="C61" s="49" t="n"/>
      <c r="D61" s="26" t="n"/>
      <c r="E61" s="27" t="n"/>
      <c r="F61" s="27" t="n"/>
      <c r="G61" s="50" t="n"/>
      <c r="H61" s="29" t="n"/>
      <c r="I61" s="50">
        <f>IF(OR(G61="",H61=""),"",G61*H61)</f>
        <v/>
      </c>
      <c r="J61" s="52" t="n"/>
      <c r="K61" s="26" t="inlineStr">
        <is>
          <t>无需预订</t>
        </is>
      </c>
    </row>
    <row r="62" ht="24.95" customHeight="1">
      <c r="A62" s="48" t="n">
        <v>46239</v>
      </c>
      <c r="B62" s="49" t="n">
        <v>0.7708333333333334</v>
      </c>
      <c r="C62" s="49" t="n"/>
      <c r="D62" s="26" t="inlineStr">
        <is>
          <t>餐饮</t>
        </is>
      </c>
      <c r="E62" s="27" t="inlineStr">
        <is>
          <t>晚餐与自由活动</t>
        </is>
      </c>
      <c r="F62" s="27" t="inlineStr">
        <is>
          <t>体力充足再逛古城；否则早点休息</t>
        </is>
      </c>
      <c r="G62" s="50" t="n"/>
      <c r="H62" s="29" t="n"/>
      <c r="I62" s="50">
        <f>IF(OR(G62="",H62=""),"",G62*H62)</f>
        <v/>
      </c>
      <c r="J62" s="52" t="n"/>
      <c r="K62" s="26" t="inlineStr">
        <is>
          <t>无需预订</t>
        </is>
      </c>
    </row>
    <row r="63" ht="24.95" customHeight="1">
      <c r="A63" s="22" t="inlineStr">
        <is>
          <t>8月6日周四   大理 · 三塔与古城</t>
        </is>
      </c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</row>
    <row r="64" ht="24.95" customHeight="1">
      <c r="A64" s="48" t="n">
        <v>46240</v>
      </c>
      <c r="B64" s="49" t="n">
        <v>0.3958333333333333</v>
      </c>
      <c r="C64" s="49" t="n">
        <v>0.4375</v>
      </c>
      <c r="D64" s="26" t="inlineStr">
        <is>
          <t>餐饮</t>
        </is>
      </c>
      <c r="E64" s="27" t="inlineStr">
        <is>
          <t>悠闲早餐</t>
        </is>
      </c>
      <c r="F64" s="27" t="inlineStr">
        <is>
          <t>不安排日出，不早起赶景点</t>
        </is>
      </c>
      <c r="G64" s="50" t="n"/>
      <c r="H64" s="29" t="n"/>
      <c r="I64" s="50">
        <f>IF(OR(G64="",H64=""),"",G64*H64)</f>
        <v/>
      </c>
      <c r="J64" s="52" t="n"/>
      <c r="K64" s="26" t="inlineStr">
        <is>
          <t>无需预订</t>
        </is>
      </c>
    </row>
    <row r="65" ht="27" customHeight="1">
      <c r="A65" s="48" t="n">
        <v>46240</v>
      </c>
      <c r="B65" s="49" t="n">
        <v>0.4375</v>
      </c>
      <c r="C65" s="49" t="n">
        <v>0.5208333333333334</v>
      </c>
      <c r="D65" s="26" t="inlineStr">
        <is>
          <t>游览</t>
        </is>
      </c>
      <c r="E65" s="27" t="inlineStr">
        <is>
          <t>崇圣寺三塔文化旅游区</t>
        </is>
      </c>
      <c r="F65" s="27" t="inlineStr">
        <is>
          <t>离古城近；景区内按体力选择观光车，避免长距离爬坡</t>
        </is>
      </c>
      <c r="G65" s="50" t="n"/>
      <c r="H65" s="29" t="n"/>
      <c r="I65" s="50">
        <f>IF(OR(G65="",H65=""),"",G65*H65)</f>
        <v/>
      </c>
      <c r="J65" s="52" t="n"/>
      <c r="K65" s="26" t="inlineStr">
        <is>
          <t>无需预订</t>
        </is>
      </c>
      <c r="L65" t="inlineStr">
        <is>
          <t>崇圣寺三塔文化旅游区</t>
        </is>
      </c>
    </row>
    <row r="66" ht="24.95" customHeight="1">
      <c r="A66" s="48" t="n">
        <v>46240</v>
      </c>
      <c r="B66" s="49" t="n">
        <v>0.5208333333333334</v>
      </c>
      <c r="C66" s="49" t="n">
        <v>0.5833333333333334</v>
      </c>
      <c r="D66" s="26" t="inlineStr">
        <is>
          <t>餐饮</t>
        </is>
      </c>
      <c r="E66" s="27" t="inlineStr">
        <is>
          <t>午餐</t>
        </is>
      </c>
      <c r="F66" s="27" t="inlineStr">
        <is>
          <t>回古城附近吃饭</t>
        </is>
      </c>
      <c r="G66" s="50" t="n"/>
      <c r="H66" s="29" t="n"/>
      <c r="I66" s="50">
        <f>IF(OR(G66="",H66=""),"",G66*H66)</f>
        <v/>
      </c>
      <c r="J66" s="52" t="n"/>
      <c r="K66" s="26" t="inlineStr">
        <is>
          <t>无需预订</t>
        </is>
      </c>
    </row>
    <row r="67" ht="24.95" customHeight="1">
      <c r="A67" s="48" t="n">
        <v>46240</v>
      </c>
      <c r="B67" s="49" t="n"/>
      <c r="C67" s="49" t="n"/>
      <c r="D67" s="26" t="inlineStr">
        <is>
          <t>住宿</t>
        </is>
      </c>
      <c r="E67" s="27" t="inlineStr">
        <is>
          <t>入住酒店</t>
        </is>
      </c>
      <c r="F67" s="27" t="inlineStr">
        <is>
          <t>大理古城三月街亚朵见野</t>
        </is>
      </c>
      <c r="G67" s="50" t="n">
        <v>0</v>
      </c>
      <c r="H67" s="29" t="n"/>
      <c r="I67" s="50" t="n"/>
      <c r="J67" s="52" t="n"/>
      <c r="K67" s="26" t="inlineStr">
        <is>
          <t>已购买</t>
        </is>
      </c>
      <c r="L67" t="inlineStr">
        <is>
          <t>大理古城三月街亚朵见野酒店</t>
        </is>
      </c>
    </row>
    <row r="68" ht="24.95" customHeight="1">
      <c r="A68" s="48" t="n">
        <v>46240</v>
      </c>
      <c r="B68" s="49" t="n">
        <v>0.6666666666666666</v>
      </c>
      <c r="C68" s="49" t="n">
        <v>0.7708333333333334</v>
      </c>
      <c r="D68" s="26" t="inlineStr">
        <is>
          <t>游览</t>
        </is>
      </c>
      <c r="E68" s="27" t="inlineStr">
        <is>
          <t>大理古城慢逛</t>
        </is>
      </c>
      <c r="F68" s="27" t="inlineStr">
        <is>
          <t>人民路、床单厂艺术区任选；以喝咖啡、逛小店为主</t>
        </is>
      </c>
      <c r="G68" s="50" t="n"/>
      <c r="H68" s="29" t="n"/>
      <c r="I68" s="50">
        <f>IF(OR(G68="",H68=""),"",G68*H68)</f>
        <v/>
      </c>
      <c r="J68" s="52" t="n"/>
      <c r="K68" s="26" t="inlineStr">
        <is>
          <t>无需预订</t>
        </is>
      </c>
      <c r="L68" t="inlineStr">
        <is>
          <t>大理古城</t>
        </is>
      </c>
    </row>
    <row r="69" ht="24.95" customHeight="1">
      <c r="A69" s="48" t="n">
        <v>46240</v>
      </c>
      <c r="B69" s="49" t="n">
        <v>0.7708333333333334</v>
      </c>
      <c r="C69" s="49" t="n"/>
      <c r="D69" s="26" t="inlineStr">
        <is>
          <t>餐饮</t>
        </is>
      </c>
      <c r="E69" s="27" t="inlineStr">
        <is>
          <t>晚餐并收拾行李</t>
        </is>
      </c>
      <c r="F69" s="27" t="inlineStr">
        <is>
          <t>次日早去丽江，今晚尽量早休息</t>
        </is>
      </c>
      <c r="G69" s="50" t="n"/>
      <c r="H69" s="29" t="n"/>
      <c r="I69" s="50">
        <f>IF(OR(G69="",H69=""),"",G69*H69)</f>
        <v/>
      </c>
      <c r="J69" s="52" t="n"/>
      <c r="K69" s="26" t="inlineStr">
        <is>
          <t>无需预订</t>
        </is>
      </c>
    </row>
    <row r="70" ht="24.95" customHeight="1">
      <c r="A70" s="22" t="inlineStr">
        <is>
          <t xml:space="preserve">8月7日周五   大理 </t>
        </is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O70" s="14" t="inlineStr">
        <is>
          <t>7点出发</t>
        </is>
      </c>
      <c r="T70" s="14" t="inlineStr">
        <is>
          <t>6点出发</t>
        </is>
      </c>
    </row>
    <row r="71" ht="24.95" customHeight="1">
      <c r="A71" s="48" t="n">
        <v>46241</v>
      </c>
      <c r="B71" s="49" t="n">
        <v>0.3125</v>
      </c>
      <c r="C71" s="49" t="n">
        <v>0.3472222222222222</v>
      </c>
      <c r="D71" s="26" t="inlineStr">
        <is>
          <t>交通</t>
        </is>
      </c>
      <c r="E71" s="27" t="inlineStr">
        <is>
          <t>酒店 → 大理站</t>
        </is>
      </c>
      <c r="F71" s="27" t="inlineStr">
        <is>
          <t>打车约 40–50 分钟，预留进站时间</t>
        </is>
      </c>
      <c r="G71" s="50" t="n"/>
      <c r="H71" s="29" t="n"/>
      <c r="I71" s="50">
        <f>IF(OR(G71="",H71=""),"",G71*H71)</f>
        <v/>
      </c>
      <c r="J71" s="52" t="n"/>
      <c r="K71" s="26" t="inlineStr">
        <is>
          <t>无需预订</t>
        </is>
      </c>
      <c r="L71" t="inlineStr">
        <is>
          <t>大理站</t>
        </is>
      </c>
      <c r="O71" s="14" t="inlineStr">
        <is>
          <t>酒店</t>
        </is>
      </c>
      <c r="P71" s="14" t="inlineStr">
        <is>
          <t>时间</t>
        </is>
      </c>
      <c r="Q71" s="14" t="inlineStr">
        <is>
          <t>价格</t>
        </is>
      </c>
      <c r="S71" s="14" t="inlineStr">
        <is>
          <t>酒店</t>
        </is>
      </c>
      <c r="T71" s="14" t="inlineStr">
        <is>
          <t>时间</t>
        </is>
      </c>
      <c r="U71" s="14" t="inlineStr">
        <is>
          <t>价格</t>
        </is>
      </c>
    </row>
    <row r="72" ht="24.95" customHeight="1">
      <c r="A72" s="48" t="n">
        <v>46241</v>
      </c>
      <c r="B72" s="49" t="n">
        <v>0.4791666666666667</v>
      </c>
      <c r="C72" s="49" t="n">
        <v>0.5416666666666666</v>
      </c>
      <c r="D72" s="26" t="inlineStr">
        <is>
          <t>餐饮</t>
        </is>
      </c>
      <c r="E72" s="27" t="inlineStr">
        <is>
          <t>午餐</t>
        </is>
      </c>
      <c r="F72" s="27" t="inlineStr">
        <is>
          <t>纳西家常菜或腊排骨；不要吃得过撑</t>
        </is>
      </c>
      <c r="G72" s="50" t="n"/>
      <c r="H72" s="29" t="n"/>
      <c r="I72" s="50">
        <f>IF(OR(G72="",H72=""),"",G72*H72)</f>
        <v/>
      </c>
      <c r="J72" s="52" t="n"/>
      <c r="K72" s="26" t="inlineStr">
        <is>
          <t>无需预订</t>
        </is>
      </c>
      <c r="O72" s="14" t="inlineStr">
        <is>
          <t>大理机场</t>
        </is>
      </c>
      <c r="P72" s="14" t="n">
        <v>50</v>
      </c>
      <c r="Q72" s="14" t="n">
        <v>80</v>
      </c>
      <c r="S72" s="14" t="inlineStr">
        <is>
          <t>大理站</t>
        </is>
      </c>
      <c r="T72" s="14" t="n">
        <v>30</v>
      </c>
      <c r="U72" s="14" t="n">
        <v>50</v>
      </c>
    </row>
    <row r="73" ht="24.95" customHeight="1">
      <c r="A73" s="48" t="n">
        <v>46241</v>
      </c>
      <c r="B73" s="49" t="n">
        <v>0.5625</v>
      </c>
      <c r="C73" s="49" t="n">
        <v>0.5902777777777778</v>
      </c>
      <c r="D73" s="26" t="inlineStr">
        <is>
          <t>交通</t>
        </is>
      </c>
      <c r="E73" s="27" t="inlineStr">
        <is>
          <t>前往白沙古镇</t>
        </is>
      </c>
      <c r="F73" s="27" t="inlineStr">
        <is>
          <t>打车约 30–40 分钟</t>
        </is>
      </c>
      <c r="G73" s="50" t="n"/>
      <c r="H73" s="29" t="n"/>
      <c r="I73" s="50">
        <f>IF(OR(G73="",H73=""),"",G73*H73)</f>
        <v/>
      </c>
      <c r="J73" s="52" t="n"/>
      <c r="K73" s="26" t="inlineStr">
        <is>
          <t>无需预订</t>
        </is>
      </c>
      <c r="L73" t="inlineStr">
        <is>
          <t>白沙古镇</t>
        </is>
      </c>
      <c r="O73" s="14" t="inlineStr">
        <is>
          <t>南京禄口机场</t>
        </is>
      </c>
      <c r="P73" s="14" t="n">
        <v>180</v>
      </c>
      <c r="Q73" s="14" t="n">
        <v>2890</v>
      </c>
      <c r="S73" s="14" t="inlineStr">
        <is>
          <t>昆明站</t>
        </is>
      </c>
      <c r="T73" s="14" t="n">
        <v>130</v>
      </c>
      <c r="U73" s="14" t="n">
        <v>290</v>
      </c>
    </row>
    <row r="74" ht="24.95" customHeight="1">
      <c r="A74" s="48" t="n">
        <v>46241</v>
      </c>
      <c r="B74" s="49" t="n">
        <v>0.5902777777777778</v>
      </c>
      <c r="C74" s="49" t="n">
        <v>0.7083333333333334</v>
      </c>
      <c r="D74" s="26" t="inlineStr">
        <is>
          <t>游览</t>
        </is>
      </c>
      <c r="E74" s="27" t="inlineStr">
        <is>
          <t>白沙古镇</t>
        </is>
      </c>
      <c r="F74" s="27" t="inlineStr">
        <is>
          <t>慢逛主街、咖啡馆；天气好可远眺玉龙雪山，不安排赶场式雪山一日游</t>
        </is>
      </c>
      <c r="G74" s="50" t="n"/>
      <c r="H74" s="29" t="n"/>
      <c r="I74" s="50">
        <f>IF(OR(G74="",H74=""),"",G74*H74)</f>
        <v/>
      </c>
      <c r="J74" s="52" t="n"/>
      <c r="K74" s="26" t="inlineStr">
        <is>
          <t>无需预订</t>
        </is>
      </c>
      <c r="L74" t="inlineStr">
        <is>
          <t>白沙古镇</t>
        </is>
      </c>
      <c r="O74" s="14" t="inlineStr">
        <is>
          <t>南京南</t>
        </is>
      </c>
      <c r="P74" s="14" t="n">
        <v>40</v>
      </c>
      <c r="Q74" s="14" t="n">
        <v>12</v>
      </c>
      <c r="S74" s="14" t="inlineStr">
        <is>
          <t>昆明机场</t>
        </is>
      </c>
      <c r="T74" s="14" t="n">
        <v>50</v>
      </c>
      <c r="U74" s="14" t="n">
        <v>20</v>
      </c>
    </row>
    <row r="75" ht="24.95" customHeight="1">
      <c r="A75" s="48" t="n">
        <v>46241</v>
      </c>
      <c r="B75" s="49" t="n">
        <v>0.7083333333333334</v>
      </c>
      <c r="C75" s="49" t="n">
        <v>0.75</v>
      </c>
      <c r="D75" s="26" t="inlineStr">
        <is>
          <t>交通</t>
        </is>
      </c>
      <c r="E75" s="27" t="inlineStr">
        <is>
          <t>返回丽江古城附近</t>
        </is>
      </c>
      <c r="F75" s="27" t="inlineStr">
        <is>
          <t>避开晚间拥堵，回酒店办理入住</t>
        </is>
      </c>
      <c r="G75" s="50" t="n"/>
      <c r="H75" s="29" t="n"/>
      <c r="I75" s="50">
        <f>IF(OR(G75="",H75=""),"",G75*H75)</f>
        <v/>
      </c>
      <c r="J75" s="52" t="n"/>
      <c r="K75" s="26" t="inlineStr">
        <is>
          <t>无需预订</t>
        </is>
      </c>
      <c r="O75" s="14" t="inlineStr">
        <is>
          <t>苏州园区</t>
        </is>
      </c>
      <c r="P75" s="14" t="n">
        <v>98</v>
      </c>
      <c r="Q75" s="14" t="n">
        <v>234</v>
      </c>
      <c r="S75" s="14" t="inlineStr">
        <is>
          <t>上海虹桥</t>
        </is>
      </c>
      <c r="T75" s="14" t="n">
        <v>180</v>
      </c>
      <c r="U75" s="14" t="n">
        <v>2160</v>
      </c>
    </row>
    <row r="76" ht="24.95" customHeight="1">
      <c r="A76" s="48" t="n">
        <v>46241</v>
      </c>
      <c r="B76" s="49" t="n">
        <v>0.7708333333333334</v>
      </c>
      <c r="C76" s="49" t="n">
        <v>0.8333333333333334</v>
      </c>
      <c r="D76" s="26" t="inlineStr">
        <is>
          <t>餐饮</t>
        </is>
      </c>
      <c r="E76" s="27" t="inlineStr">
        <is>
          <t>丽江晚餐</t>
        </is>
      </c>
      <c r="F76" s="27" t="inlineStr">
        <is>
          <t>鸡豆凉粉、纳西烤肉等，按口味选择</t>
        </is>
      </c>
      <c r="G76" s="50" t="n"/>
      <c r="H76" s="29" t="n"/>
      <c r="I76" s="50">
        <f>IF(OR(G76="",H76=""),"",G76*H76)</f>
        <v/>
      </c>
      <c r="J76" s="52" t="n"/>
      <c r="K76" s="26" t="inlineStr">
        <is>
          <t>无需预订</t>
        </is>
      </c>
      <c r="O76" s="14" t="inlineStr">
        <is>
          <t>家</t>
        </is>
      </c>
      <c r="P76" s="14" t="n">
        <v>10</v>
      </c>
      <c r="Q76" s="14" t="n">
        <v>10</v>
      </c>
      <c r="S76" s="14" t="inlineStr">
        <is>
          <t>苏州园区/苏州</t>
        </is>
      </c>
      <c r="T76" s="14" t="n">
        <v>30</v>
      </c>
      <c r="U76" s="14" t="n">
        <v>80</v>
      </c>
    </row>
    <row r="77" ht="24.95" customHeight="1">
      <c r="A77" s="48" t="n">
        <v>46241</v>
      </c>
      <c r="B77" s="49" t="n">
        <v>0.8333333333333334</v>
      </c>
      <c r="C77" s="49" t="n">
        <v>0.8958333333333334</v>
      </c>
      <c r="D77" s="26" t="inlineStr">
        <is>
          <t>游览</t>
        </is>
      </c>
      <c r="E77" s="27" t="inlineStr">
        <is>
          <t>丽江古城夜游</t>
        </is>
      </c>
      <c r="F77" s="27" t="inlineStr">
        <is>
          <t>只走四方街附近一小圈，石板路湿滑时提前返回</t>
        </is>
      </c>
      <c r="G77" s="50" t="n"/>
      <c r="H77" s="29" t="n"/>
      <c r="I77" s="50">
        <f>IF(OR(G77="",H77=""),"",G77*H77)</f>
        <v/>
      </c>
      <c r="J77" s="52" t="n"/>
      <c r="K77" s="26" t="inlineStr">
        <is>
          <t>无需预订</t>
        </is>
      </c>
      <c r="L77" t="inlineStr">
        <is>
          <t>丽江古城</t>
        </is>
      </c>
      <c r="P77" s="14">
        <f>SUM(P72:P76)</f>
        <v/>
      </c>
      <c r="Q77" s="14">
        <f>SUM(Q72:Q76)</f>
        <v/>
      </c>
      <c r="S77" s="14" t="inlineStr">
        <is>
          <t>家</t>
        </is>
      </c>
      <c r="T77" s="14" t="n">
        <v>40</v>
      </c>
      <c r="U77" s="14" t="n">
        <v>10</v>
      </c>
    </row>
    <row r="78" ht="24.95" customHeight="1">
      <c r="A78" s="48" t="n">
        <v>46241</v>
      </c>
      <c r="B78" s="49" t="n">
        <v>0.8958333333333334</v>
      </c>
      <c r="C78" s="49" t="n"/>
      <c r="D78" s="26" t="inlineStr">
        <is>
          <t>住宿</t>
        </is>
      </c>
      <c r="E78" s="27" t="inlineStr">
        <is>
          <t>入住酒店</t>
        </is>
      </c>
      <c r="F78" s="27" t="inlineStr">
        <is>
          <t>推荐古城北门 / 大水车外侧，拉行李和次日去机场更方便；住 1 晚</t>
        </is>
      </c>
      <c r="G78" s="50" t="n"/>
      <c r="H78" s="29" t="n">
        <v>1</v>
      </c>
      <c r="I78" s="50">
        <f>IF(OR(G78="",H78=""),"",G78*H78)</f>
        <v/>
      </c>
      <c r="J78" s="52" t="n"/>
      <c r="K78" s="26" t="inlineStr">
        <is>
          <t>待购买</t>
        </is>
      </c>
      <c r="T78" s="14">
        <f>SUM(T72:T77)</f>
        <v/>
      </c>
      <c r="U78" s="14">
        <f>SUM(U72:U77)</f>
        <v/>
      </c>
    </row>
    <row r="79" ht="24.95" customHeight="1">
      <c r="A79" s="22" t="inlineStr">
        <is>
          <t>8月8日周六   大理 → 昆明 → 上海 → 苏州</t>
        </is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O79" s="14" t="inlineStr">
        <is>
          <t>16点到家</t>
        </is>
      </c>
      <c r="T79" s="14" t="inlineStr">
        <is>
          <t>17:20到家</t>
        </is>
      </c>
    </row>
    <row r="80" ht="24.95" customHeight="1">
      <c r="A80" s="48" t="n">
        <v>46242</v>
      </c>
      <c r="B80" s="49" t="n">
        <v>0.3541666666666667</v>
      </c>
      <c r="C80" s="49" t="n">
        <v>0.3958333333333333</v>
      </c>
      <c r="D80" s="26" t="inlineStr">
        <is>
          <t>餐饮</t>
        </is>
      </c>
      <c r="E80" s="27" t="inlineStr">
        <is>
          <t>早餐</t>
        </is>
      </c>
      <c r="F80" s="27" t="inlineStr">
        <is>
          <t>睡到自然醒，酒店附近简单用餐</t>
        </is>
      </c>
      <c r="G80" s="50" t="n"/>
      <c r="H80" s="29" t="n"/>
      <c r="I80" s="50">
        <f>IF(OR(G80="",H80=""),"",G80*H80)</f>
        <v/>
      </c>
      <c r="J80" s="52" t="n"/>
      <c r="K80" s="26" t="inlineStr">
        <is>
          <t>无需预订</t>
        </is>
      </c>
    </row>
    <row r="81" ht="27" customHeight="1">
      <c r="A81" s="48" t="n">
        <v>46242</v>
      </c>
      <c r="B81" s="49" t="n">
        <v>0.3958333333333333</v>
      </c>
      <c r="C81" s="49" t="n">
        <v>0.4375</v>
      </c>
      <c r="D81" s="26" t="inlineStr">
        <is>
          <t>游览</t>
        </is>
      </c>
      <c r="E81" s="27" t="inlineStr">
        <is>
          <t>古城晨间散步</t>
        </is>
      </c>
      <c r="F81" s="27" t="inlineStr">
        <is>
          <t>仅在酒店附近走走；若航班较早则取消</t>
        </is>
      </c>
      <c r="G81" s="50" t="n"/>
      <c r="H81" s="29" t="n"/>
      <c r="I81" s="50">
        <f>IF(OR(G81="",H81=""),"",G81*H81)</f>
        <v/>
      </c>
      <c r="J81" s="52" t="n"/>
      <c r="K81" s="26" t="inlineStr">
        <is>
          <t>无需预订</t>
        </is>
      </c>
      <c r="L81" t="inlineStr">
        <is>
          <t>丽江古城</t>
        </is>
      </c>
    </row>
    <row r="82" ht="24.95" customHeight="1">
      <c r="A82" s="48" t="n">
        <v>46242</v>
      </c>
      <c r="B82" s="49" t="n">
        <v>0.4375</v>
      </c>
      <c r="C82" s="49" t="n">
        <v>0.4791666666666667</v>
      </c>
      <c r="D82" s="26" t="inlineStr">
        <is>
          <t>餐饮</t>
        </is>
      </c>
      <c r="E82" s="27" t="inlineStr">
        <is>
          <t>早午餐并取行李</t>
        </is>
      </c>
      <c r="F82" s="27" t="inlineStr">
        <is>
          <t>退房前确认航班和目的地机场交通</t>
        </is>
      </c>
      <c r="G82" s="50" t="n"/>
      <c r="H82" s="29" t="n"/>
      <c r="I82" s="50">
        <f>IF(OR(G82="",H82=""),"",G82*H82)</f>
        <v/>
      </c>
      <c r="J82" s="52" t="n"/>
      <c r="K82" s="26" t="inlineStr">
        <is>
          <t>无需预订</t>
        </is>
      </c>
    </row>
    <row r="83" ht="24.95" customHeight="1">
      <c r="A83" s="48" t="n">
        <v>46242</v>
      </c>
      <c r="B83" s="49" t="n">
        <v>0.4791666666666667</v>
      </c>
      <c r="C83" s="49" t="n">
        <v>0.5208333333333334</v>
      </c>
      <c r="D83" s="26" t="inlineStr">
        <is>
          <t>交通</t>
        </is>
      </c>
      <c r="E83" s="27" t="inlineStr">
        <is>
          <t>酒店 → 丽江机场</t>
        </is>
      </c>
      <c r="F83" s="27" t="inlineStr">
        <is>
          <t>车程约 40–50 分钟；按实际航班提前至少 2 小时出发</t>
        </is>
      </c>
      <c r="G83" s="50" t="n"/>
      <c r="H83" s="29" t="n"/>
      <c r="I83" s="50">
        <f>IF(OR(G83="",H83=""),"",G83*H83)</f>
        <v/>
      </c>
      <c r="J83" s="52" t="n"/>
      <c r="K83" s="26" t="inlineStr">
        <is>
          <t>无需预订</t>
        </is>
      </c>
      <c r="L83" t="inlineStr">
        <is>
          <t>丽江三义国际机场</t>
        </is>
      </c>
    </row>
    <row r="84" ht="24.95" customHeight="1">
      <c r="A84" s="48" t="n">
        <v>46242</v>
      </c>
      <c r="B84" s="49" t="n">
        <v>0.5833333333333334</v>
      </c>
      <c r="C84" s="49" t="n">
        <v>0.7291666666666666</v>
      </c>
      <c r="D84" s="26" t="inlineStr">
        <is>
          <t>交通</t>
        </is>
      </c>
      <c r="E84" s="27" t="inlineStr">
        <is>
          <t>飞机：丽江 → 华东</t>
        </is>
      </c>
      <c r="F84" s="27" t="inlineStr">
        <is>
          <t>优先直飞无锡硕放；无合适班次则飞上海，再转高铁 / 打车回苏州；飞行约 3–3.5 小时</t>
        </is>
      </c>
      <c r="G84" s="50" t="n"/>
      <c r="H84" s="29" t="n"/>
      <c r="I84" s="50">
        <f>IF(OR(G84="",H84=""),"",G84*H84)</f>
        <v/>
      </c>
      <c r="J84" s="52" t="n"/>
      <c r="K84" s="26" t="inlineStr">
        <is>
          <t>待购买</t>
        </is>
      </c>
    </row>
    <row r="85" ht="24.95" customHeight="1">
      <c r="A85" s="48" t="n">
        <v>46242</v>
      </c>
      <c r="B85" s="49" t="n">
        <v>0.7291666666666666</v>
      </c>
      <c r="C85" s="49" t="n">
        <v>0.8333333333333334</v>
      </c>
      <c r="D85" s="26" t="inlineStr">
        <is>
          <t>交通</t>
        </is>
      </c>
      <c r="E85" s="27" t="inlineStr">
        <is>
          <t>机场 → 苏州</t>
        </is>
      </c>
      <c r="F85" s="27" t="inlineStr">
        <is>
          <t>无锡落地约 1–1.5 小时；上海落地通常约 2–3 小时，按实际机场调整</t>
        </is>
      </c>
      <c r="G85" s="50" t="n"/>
      <c r="H85" s="29" t="n"/>
      <c r="I85" s="50">
        <f>IF(OR(G85="",H85=""),"",G85*H85)</f>
        <v/>
      </c>
      <c r="J85" s="52" t="n"/>
      <c r="K85" s="26" t="inlineStr">
        <is>
          <t>无需预订</t>
        </is>
      </c>
    </row>
    <row r="86" ht="24.95" customHeight="1">
      <c r="A86" s="48" t="n"/>
      <c r="B86" s="49" t="n"/>
      <c r="C86" s="49" t="n"/>
      <c r="D86" s="26" t="n"/>
      <c r="E86" s="27" t="n"/>
      <c r="F86" s="27" t="n"/>
      <c r="G86" s="50" t="n"/>
      <c r="H86" s="29" t="n"/>
      <c r="I86" s="50" t="n"/>
      <c r="J86" s="52" t="n"/>
      <c r="K86" s="26" t="n"/>
    </row>
    <row r="87" ht="24.95" customHeight="1">
      <c r="A87" s="48" t="n"/>
      <c r="B87" s="49" t="n"/>
      <c r="C87" s="49" t="n"/>
      <c r="D87" s="26" t="n"/>
      <c r="E87" s="27" t="n"/>
      <c r="F87" s="27" t="n"/>
      <c r="G87" s="50" t="n"/>
      <c r="H87" s="29" t="n"/>
      <c r="I87" s="50" t="n"/>
      <c r="J87" s="52" t="n"/>
      <c r="K87" s="26" t="n"/>
    </row>
    <row r="88" ht="24.95" customHeight="1">
      <c r="A88" s="48" t="n"/>
      <c r="B88" s="49" t="n"/>
      <c r="C88" s="49" t="n"/>
      <c r="D88" s="26" t="n"/>
      <c r="E88" s="27" t="n"/>
      <c r="F88" s="27" t="n"/>
      <c r="G88" s="50" t="n"/>
      <c r="H88" s="29" t="n"/>
      <c r="I88" s="50" t="n"/>
      <c r="J88" s="52" t="n"/>
      <c r="K88" s="26" t="n"/>
      <c r="P88" s="48" t="n"/>
      <c r="Q88" s="49" t="n"/>
      <c r="R88" s="49" t="n"/>
      <c r="S88" s="26" t="n"/>
      <c r="T88" s="27" t="n"/>
      <c r="U88" s="27" t="n"/>
      <c r="V88" s="50" t="n"/>
      <c r="W88" s="29" t="n"/>
      <c r="X88" s="50" t="n"/>
      <c r="Y88" s="52" t="n"/>
      <c r="Z88" s="26" t="n"/>
    </row>
    <row r="89" ht="24.95" customHeight="1">
      <c r="A89" s="48" t="n"/>
      <c r="B89" s="49" t="n"/>
      <c r="C89" s="49" t="n"/>
      <c r="D89" s="26" t="n"/>
      <c r="E89" s="27" t="n"/>
      <c r="F89" s="27" t="n"/>
      <c r="G89" s="50" t="n"/>
      <c r="H89" s="29" t="n"/>
      <c r="I89" s="50" t="n"/>
      <c r="J89" s="52" t="n"/>
      <c r="K89" s="26" t="n"/>
      <c r="P89" s="48" t="n"/>
      <c r="Q89" s="49" t="n"/>
      <c r="R89" s="49" t="n"/>
      <c r="S89" s="26" t="n"/>
      <c r="T89" s="27" t="n"/>
      <c r="U89" s="27" t="n"/>
      <c r="V89" s="50" t="n"/>
      <c r="W89" s="29" t="n"/>
      <c r="X89" s="50" t="n"/>
      <c r="Y89" s="52" t="n"/>
      <c r="Z89" s="26" t="n"/>
    </row>
    <row r="90" ht="24.95" customHeight="1">
      <c r="A90" s="48" t="n"/>
      <c r="B90" s="49" t="n"/>
      <c r="C90" s="49" t="n"/>
      <c r="D90" s="26" t="n"/>
      <c r="E90" s="27" t="n"/>
      <c r="F90" s="27" t="n"/>
      <c r="G90" s="50" t="n"/>
      <c r="H90" s="29" t="n"/>
      <c r="I90" s="50" t="n"/>
      <c r="J90" s="52" t="n"/>
      <c r="K90" s="26" t="n"/>
      <c r="P90" s="48" t="n"/>
      <c r="Q90" s="49" t="n"/>
      <c r="R90" s="49" t="n"/>
      <c r="S90" s="26" t="n"/>
      <c r="T90" s="27" t="n"/>
      <c r="U90" s="27" t="n"/>
      <c r="V90" s="50" t="n"/>
      <c r="W90" s="29" t="n"/>
      <c r="X90" s="50" t="n"/>
      <c r="Y90" s="52" t="n"/>
      <c r="Z90" s="26" t="n"/>
    </row>
    <row r="91" ht="24.95" customHeight="1">
      <c r="A91" s="48" t="n"/>
      <c r="B91" s="49" t="n"/>
      <c r="C91" s="49" t="n"/>
      <c r="D91" s="26" t="n"/>
      <c r="E91" s="27" t="n"/>
      <c r="F91" s="27" t="n"/>
      <c r="G91" s="50" t="n"/>
      <c r="H91" s="29" t="n"/>
      <c r="I91" s="50" t="n"/>
      <c r="J91" s="52" t="n"/>
      <c r="K91" s="26" t="n"/>
      <c r="P91" s="48" t="n"/>
      <c r="Q91" s="49" t="n"/>
      <c r="R91" s="49" t="n"/>
      <c r="S91" s="26" t="n"/>
      <c r="T91" s="27" t="n"/>
      <c r="U91" s="27" t="n"/>
      <c r="V91" s="50" t="n"/>
      <c r="W91" s="29" t="n"/>
      <c r="X91" s="50" t="n"/>
      <c r="Y91" s="52" t="n"/>
      <c r="Z91" s="26" t="n"/>
    </row>
    <row r="92" ht="24.95" customHeight="1">
      <c r="A92" s="48" t="n"/>
      <c r="B92" s="49" t="n"/>
      <c r="C92" s="49" t="n"/>
      <c r="D92" s="26" t="n"/>
      <c r="E92" s="27" t="n"/>
      <c r="F92" s="27" t="n"/>
      <c r="G92" s="50" t="n"/>
      <c r="H92" s="29" t="n"/>
      <c r="I92" s="50" t="n"/>
      <c r="J92" s="52" t="n"/>
      <c r="K92" s="26" t="n"/>
    </row>
    <row r="93" ht="24.95" customHeight="1">
      <c r="A93" s="48" t="n"/>
      <c r="B93" s="49" t="n"/>
      <c r="C93" s="49" t="n"/>
      <c r="D93" s="26" t="n"/>
      <c r="E93" s="27" t="n"/>
      <c r="F93" s="27" t="n"/>
      <c r="G93" s="50" t="n"/>
      <c r="H93" s="29" t="n"/>
      <c r="I93" s="50" t="n"/>
      <c r="J93" s="52" t="n"/>
      <c r="K93" s="26" t="n"/>
    </row>
    <row r="94" ht="24.95" customHeight="1">
      <c r="A94" s="48" t="n"/>
      <c r="B94" s="49" t="n"/>
      <c r="C94" s="49" t="n"/>
      <c r="D94" s="26" t="n"/>
      <c r="E94" s="27" t="n"/>
      <c r="F94" s="27" t="n"/>
      <c r="G94" s="50" t="n"/>
      <c r="H94" s="29" t="n"/>
      <c r="I94" s="50" t="n"/>
      <c r="J94" s="52" t="n"/>
      <c r="K94" s="26" t="n"/>
    </row>
    <row r="95" ht="24.95" customHeight="1">
      <c r="A95" s="48" t="n"/>
      <c r="B95" s="49" t="n"/>
      <c r="C95" s="49" t="n"/>
      <c r="D95" s="26" t="n"/>
      <c r="E95" s="27" t="n"/>
      <c r="F95" s="27" t="n"/>
      <c r="G95" s="50" t="n"/>
      <c r="H95" s="29" t="n"/>
      <c r="I95" s="50" t="n"/>
      <c r="J95" s="52" t="n"/>
      <c r="K95" s="26" t="n"/>
    </row>
    <row r="96" ht="24.95" customHeight="1">
      <c r="A96" s="48" t="n"/>
      <c r="B96" s="49" t="n"/>
      <c r="C96" s="49" t="n"/>
      <c r="D96" s="26" t="n"/>
      <c r="E96" s="27" t="n"/>
      <c r="F96" s="27" t="n"/>
      <c r="G96" s="50" t="n"/>
      <c r="H96" s="29" t="n"/>
      <c r="I96" s="50" t="n"/>
      <c r="J96" s="52" t="n"/>
      <c r="K96" s="26" t="n"/>
    </row>
    <row r="97" ht="24.95" customHeight="1">
      <c r="A97" s="48" t="n"/>
      <c r="B97" s="49" t="n"/>
      <c r="C97" s="49" t="n"/>
      <c r="D97" s="26" t="n"/>
      <c r="E97" s="27" t="n"/>
      <c r="F97" s="27" t="n"/>
      <c r="G97" s="50" t="n"/>
      <c r="H97" s="29" t="n"/>
      <c r="I97" s="50" t="n"/>
      <c r="J97" s="52" t="n"/>
      <c r="K97" s="26" t="n"/>
    </row>
    <row r="98" ht="24.95" customHeight="1">
      <c r="A98" s="48" t="n"/>
      <c r="B98" s="49" t="n"/>
      <c r="C98" s="49" t="n"/>
      <c r="D98" s="26" t="n"/>
      <c r="E98" s="27" t="n"/>
      <c r="F98" s="27" t="n"/>
      <c r="G98" s="50" t="n"/>
      <c r="H98" s="29" t="n"/>
      <c r="I98" s="50" t="n"/>
      <c r="J98" s="52" t="n"/>
      <c r="K98" s="26" t="n"/>
    </row>
    <row r="99" ht="24.95" customHeight="1">
      <c r="A99" s="48" t="n"/>
      <c r="B99" s="49" t="n"/>
      <c r="C99" s="49" t="n"/>
      <c r="D99" s="26" t="n"/>
      <c r="E99" s="27" t="n"/>
      <c r="F99" s="27" t="n"/>
      <c r="G99" s="50" t="n"/>
      <c r="H99" s="29" t="n"/>
      <c r="I99" s="50" t="n"/>
      <c r="J99" s="52" t="n"/>
      <c r="K99" s="26" t="n"/>
    </row>
    <row r="100" ht="24.95" customHeight="1">
      <c r="A100" s="48" t="n"/>
      <c r="B100" s="49" t="n"/>
      <c r="C100" s="49" t="n"/>
      <c r="D100" s="26" t="n"/>
      <c r="E100" s="27" t="n"/>
      <c r="F100" s="27" t="n"/>
      <c r="G100" s="50" t="n"/>
      <c r="H100" s="29" t="n"/>
      <c r="I100" s="50" t="n"/>
      <c r="J100" s="52" t="n"/>
      <c r="K100" s="26" t="n"/>
    </row>
    <row r="101" ht="24.95" customHeight="1">
      <c r="A101" s="48" t="n"/>
      <c r="B101" s="49" t="n"/>
      <c r="C101" s="49" t="n"/>
      <c r="D101" s="26" t="n"/>
      <c r="E101" s="27" t="n"/>
      <c r="F101" s="27" t="n"/>
      <c r="G101" s="50" t="n"/>
      <c r="H101" s="29" t="n"/>
      <c r="I101" s="50" t="n"/>
      <c r="J101" s="52" t="n"/>
      <c r="K101" s="26" t="n"/>
    </row>
    <row r="102" ht="24.95" customHeight="1">
      <c r="A102" s="48" t="n"/>
      <c r="B102" s="49" t="n"/>
      <c r="C102" s="49" t="n"/>
      <c r="D102" s="26" t="n"/>
      <c r="E102" s="27" t="n"/>
      <c r="F102" s="27" t="n"/>
      <c r="G102" s="50" t="n"/>
      <c r="H102" s="29" t="n"/>
      <c r="I102" s="50" t="n"/>
      <c r="J102" s="52" t="n"/>
      <c r="K102" s="26" t="n"/>
    </row>
    <row r="103" ht="24.95" customHeight="1">
      <c r="A103" s="48" t="n"/>
      <c r="B103" s="49" t="n"/>
      <c r="C103" s="49" t="n"/>
      <c r="D103" s="26" t="n"/>
      <c r="E103" s="27" t="n"/>
      <c r="F103" s="27" t="n"/>
      <c r="G103" s="50" t="n"/>
      <c r="H103" s="29" t="n"/>
      <c r="I103" s="50" t="n"/>
      <c r="J103" s="52" t="n"/>
      <c r="K103" s="26" t="n"/>
    </row>
    <row r="104" ht="24.95" customHeight="1">
      <c r="A104" s="48" t="n"/>
      <c r="B104" s="49" t="n"/>
      <c r="C104" s="49" t="n"/>
      <c r="D104" s="26" t="n"/>
      <c r="E104" s="27" t="n"/>
      <c r="F104" s="27" t="n"/>
      <c r="G104" s="50" t="n"/>
      <c r="H104" s="29" t="n"/>
      <c r="I104" s="50" t="n"/>
      <c r="J104" s="52" t="n"/>
      <c r="K104" s="26" t="n"/>
    </row>
    <row r="105" ht="24.95" customHeight="1">
      <c r="A105" s="48" t="n"/>
      <c r="B105" s="49" t="n"/>
      <c r="C105" s="49" t="n"/>
      <c r="D105" s="26" t="n"/>
      <c r="E105" s="27" t="n"/>
      <c r="F105" s="27" t="n"/>
      <c r="G105" s="50" t="n"/>
      <c r="H105" s="29" t="n"/>
      <c r="I105" s="50" t="n"/>
      <c r="J105" s="52" t="n"/>
      <c r="K105" s="26" t="n"/>
    </row>
    <row r="106" ht="24.95" customHeight="1">
      <c r="A106" s="48" t="n"/>
      <c r="B106" s="49" t="n"/>
      <c r="C106" s="49" t="n"/>
      <c r="D106" s="26" t="n"/>
      <c r="E106" s="27" t="n"/>
      <c r="F106" s="27" t="n"/>
      <c r="G106" s="50" t="n"/>
      <c r="H106" s="29" t="n"/>
      <c r="I106" s="50" t="n"/>
      <c r="J106" s="52" t="n"/>
      <c r="K106" s="26" t="n"/>
    </row>
    <row r="107" ht="24.95" customHeight="1">
      <c r="A107" s="48" t="n"/>
      <c r="B107" s="49" t="n"/>
      <c r="C107" s="49" t="n"/>
      <c r="D107" s="26" t="n"/>
      <c r="E107" s="27" t="n"/>
      <c r="F107" s="27" t="n"/>
      <c r="G107" s="50" t="n"/>
      <c r="H107" s="29" t="n"/>
      <c r="I107" s="50" t="n"/>
      <c r="J107" s="52" t="n"/>
      <c r="K107" s="26" t="n"/>
    </row>
    <row r="108" ht="24.95" customHeight="1">
      <c r="A108" s="48" t="n"/>
      <c r="B108" s="49" t="n"/>
      <c r="C108" s="49" t="n"/>
      <c r="D108" s="26" t="n"/>
      <c r="E108" s="27" t="n"/>
      <c r="F108" s="27" t="n"/>
      <c r="G108" s="50" t="n"/>
      <c r="H108" s="29" t="n"/>
      <c r="I108" s="50" t="n"/>
      <c r="J108" s="52" t="n"/>
      <c r="K108" s="26" t="n"/>
    </row>
    <row r="109" ht="24.95" customHeight="1">
      <c r="A109" s="48" t="n"/>
      <c r="B109" s="49" t="n"/>
      <c r="C109" s="49" t="n"/>
      <c r="D109" s="26" t="n"/>
      <c r="E109" s="27" t="n"/>
      <c r="F109" s="27" t="n"/>
      <c r="G109" s="50" t="n"/>
      <c r="H109" s="29" t="n"/>
      <c r="I109" s="50" t="n"/>
      <c r="J109" s="52" t="n"/>
      <c r="K109" s="26" t="n"/>
    </row>
    <row r="110" ht="24.95" customHeight="1">
      <c r="A110" s="48" t="n"/>
      <c r="B110" s="49" t="n"/>
      <c r="C110" s="49" t="n"/>
      <c r="D110" s="26" t="n"/>
      <c r="E110" s="27" t="n"/>
      <c r="F110" s="27" t="n"/>
      <c r="G110" s="50" t="n"/>
      <c r="H110" s="29" t="n"/>
      <c r="I110" s="50" t="n"/>
      <c r="J110" s="52" t="n"/>
      <c r="K110" s="26" t="n"/>
    </row>
    <row r="111" ht="24.95" customHeight="1">
      <c r="A111" s="48" t="n"/>
      <c r="B111" s="49" t="n"/>
      <c r="C111" s="49" t="n"/>
      <c r="D111" s="26" t="n"/>
      <c r="E111" s="27" t="n"/>
      <c r="F111" s="27" t="n"/>
      <c r="G111" s="50" t="n"/>
      <c r="H111" s="29" t="n"/>
      <c r="I111" s="50" t="n"/>
      <c r="J111" s="52" t="n"/>
      <c r="K111" s="26" t="n"/>
      <c r="M111" s="53" t="n"/>
    </row>
    <row r="112" ht="24.95" customHeight="1">
      <c r="A112" s="48" t="n"/>
      <c r="B112" s="49" t="n"/>
      <c r="C112" s="49" t="n"/>
      <c r="D112" s="26" t="n"/>
      <c r="E112" s="27" t="n"/>
      <c r="F112" s="27" t="n"/>
      <c r="G112" s="50" t="n"/>
      <c r="H112" s="29" t="n"/>
      <c r="I112" s="50" t="n"/>
      <c r="J112" s="52" t="n"/>
      <c r="K112" s="26" t="n"/>
      <c r="M112" s="53" t="n"/>
    </row>
    <row r="113" ht="24.95" customHeight="1">
      <c r="A113" s="48" t="n"/>
      <c r="B113" s="49" t="n"/>
      <c r="C113" s="49" t="n"/>
      <c r="D113" s="26" t="n"/>
      <c r="E113" s="27" t="n"/>
      <c r="F113" s="27" t="n"/>
      <c r="G113" s="50" t="n"/>
      <c r="H113" s="29" t="n"/>
      <c r="I113" s="50" t="n"/>
      <c r="J113" s="52" t="n"/>
      <c r="K113" s="26" t="n"/>
      <c r="M113" s="53" t="n"/>
    </row>
    <row r="114" ht="24.95" customHeight="1">
      <c r="A114" s="48" t="n"/>
      <c r="B114" s="49" t="n"/>
      <c r="C114" s="49" t="n"/>
      <c r="D114" s="26" t="n"/>
      <c r="E114" s="27" t="n"/>
      <c r="F114" s="27" t="n"/>
      <c r="G114" s="50" t="n"/>
      <c r="H114" s="29" t="n"/>
      <c r="I114" s="50" t="n"/>
      <c r="J114" s="52" t="n"/>
      <c r="K114" s="26" t="n"/>
      <c r="M114" s="53" t="n"/>
    </row>
    <row r="115" ht="24.95" customHeight="1">
      <c r="A115" s="48" t="n"/>
      <c r="B115" s="49" t="n"/>
      <c r="C115" s="49" t="n"/>
      <c r="D115" s="26" t="n"/>
      <c r="E115" s="27" t="n"/>
      <c r="F115" s="27" t="n"/>
      <c r="G115" s="50" t="n"/>
      <c r="H115" s="29" t="n"/>
      <c r="I115" s="50" t="n"/>
      <c r="J115" s="52" t="n"/>
      <c r="K115" s="26" t="n"/>
      <c r="M115" s="53" t="n"/>
    </row>
    <row r="116" ht="24.95" customHeight="1">
      <c r="A116" s="48" t="n"/>
      <c r="B116" s="49" t="n"/>
      <c r="C116" s="49" t="n"/>
      <c r="D116" s="26" t="n"/>
      <c r="E116" s="27" t="n"/>
      <c r="F116" s="27" t="n"/>
      <c r="G116" s="50" t="n"/>
      <c r="H116" s="29" t="n"/>
      <c r="I116" s="50" t="n"/>
      <c r="J116" s="52" t="n"/>
      <c r="K116" s="26" t="n"/>
    </row>
    <row r="117" ht="24.95" customHeight="1">
      <c r="A117" s="48" t="n"/>
      <c r="B117" s="49" t="n"/>
      <c r="C117" s="49" t="n"/>
      <c r="D117" s="26" t="n"/>
      <c r="E117" s="27" t="n"/>
      <c r="F117" s="27" t="n"/>
      <c r="G117" s="50" t="n"/>
      <c r="H117" s="29" t="n"/>
      <c r="I117" s="50" t="n"/>
      <c r="J117" s="52" t="n"/>
      <c r="K117" s="26" t="n"/>
    </row>
    <row r="118" ht="24.95" customHeight="1">
      <c r="A118" s="48" t="n"/>
      <c r="B118" s="49" t="n"/>
      <c r="C118" s="49" t="n"/>
      <c r="D118" s="26" t="n"/>
      <c r="E118" s="27" t="n"/>
      <c r="F118" s="27" t="n"/>
      <c r="G118" s="50" t="n"/>
      <c r="H118" s="29" t="n"/>
      <c r="I118" s="50" t="n"/>
      <c r="J118" s="52" t="n"/>
      <c r="K118" s="26" t="n"/>
    </row>
    <row r="119" ht="24.95" customHeight="1">
      <c r="A119" s="48" t="n"/>
      <c r="B119" s="49" t="n"/>
      <c r="C119" s="49" t="n"/>
      <c r="D119" s="26" t="n"/>
      <c r="E119" s="27" t="n"/>
      <c r="F119" s="27" t="n"/>
      <c r="G119" s="50" t="n"/>
      <c r="H119" s="29" t="n"/>
      <c r="I119" s="50" t="n"/>
      <c r="J119" s="52" t="n"/>
      <c r="K119" s="26" t="n"/>
    </row>
    <row r="120" ht="24.95" customHeight="1">
      <c r="A120" s="48" t="n"/>
      <c r="B120" s="49" t="n"/>
      <c r="C120" s="49" t="n"/>
      <c r="D120" s="26" t="n"/>
      <c r="E120" s="27" t="n"/>
      <c r="F120" s="27" t="n"/>
      <c r="G120" s="50" t="n"/>
      <c r="H120" s="29" t="n"/>
      <c r="I120" s="50" t="n"/>
      <c r="J120" s="52" t="n"/>
      <c r="K120" s="26" t="n"/>
    </row>
    <row r="121" ht="24.95" customHeight="1">
      <c r="A121" s="48" t="n"/>
      <c r="B121" s="49" t="n"/>
      <c r="C121" s="49" t="n"/>
      <c r="D121" s="26" t="n"/>
      <c r="E121" s="27" t="n"/>
      <c r="F121" s="27" t="n"/>
      <c r="G121" s="50" t="n"/>
      <c r="H121" s="29" t="n"/>
      <c r="I121" s="50" t="n"/>
      <c r="J121" s="52" t="n"/>
      <c r="K121" s="26" t="n"/>
    </row>
    <row r="122" ht="24.95" customHeight="1">
      <c r="A122" s="48" t="n"/>
      <c r="B122" s="49" t="n"/>
      <c r="C122" s="49" t="n"/>
      <c r="D122" s="26" t="n"/>
      <c r="E122" s="27" t="n"/>
      <c r="F122" s="27" t="n"/>
      <c r="G122" s="50" t="n"/>
      <c r="H122" s="29" t="n"/>
      <c r="I122" s="50" t="n"/>
      <c r="J122" s="52" t="n"/>
      <c r="K122" s="26" t="n"/>
    </row>
    <row r="123" ht="24.95" customHeight="1">
      <c r="A123" s="48" t="n"/>
      <c r="B123" s="49" t="n"/>
      <c r="C123" s="49" t="n"/>
      <c r="D123" s="26" t="n"/>
      <c r="E123" s="27" t="n"/>
      <c r="F123" s="27" t="n"/>
      <c r="G123" s="50" t="n"/>
      <c r="H123" s="29" t="n"/>
      <c r="I123" s="50" t="n"/>
      <c r="J123" s="52" t="n"/>
      <c r="K123" s="26" t="n"/>
    </row>
    <row r="124" ht="24.95" customHeight="1">
      <c r="A124" s="48" t="n"/>
      <c r="B124" s="49" t="n"/>
      <c r="C124" s="49" t="n"/>
      <c r="D124" s="26" t="n"/>
      <c r="E124" s="27" t="n"/>
      <c r="F124" s="27" t="n"/>
      <c r="G124" s="50" t="n"/>
      <c r="H124" s="29" t="n"/>
      <c r="I124" s="50" t="n"/>
      <c r="J124" s="52" t="n"/>
      <c r="K124" s="26" t="n"/>
    </row>
    <row r="125" ht="24.95" customHeight="1">
      <c r="A125" s="48" t="n"/>
      <c r="B125" s="49" t="n"/>
      <c r="C125" s="49" t="n"/>
      <c r="D125" s="26" t="n"/>
      <c r="E125" s="27" t="n"/>
      <c r="F125" s="27" t="n"/>
      <c r="G125" s="50" t="n"/>
      <c r="H125" s="29" t="n"/>
      <c r="I125" s="50" t="n"/>
      <c r="J125" s="52" t="n"/>
      <c r="K125" s="26" t="n"/>
    </row>
    <row r="126" ht="24.95" customHeight="1">
      <c r="A126" s="48" t="n"/>
      <c r="B126" s="49" t="n"/>
      <c r="C126" s="49" t="n"/>
      <c r="D126" s="26" t="n"/>
      <c r="E126" s="27" t="n"/>
      <c r="F126" s="27" t="n"/>
      <c r="G126" s="50" t="n"/>
      <c r="H126" s="29" t="n"/>
      <c r="I126" s="50" t="n"/>
      <c r="J126" s="52" t="n"/>
      <c r="K126" s="26" t="n"/>
    </row>
    <row r="127" ht="24.95" customHeight="1">
      <c r="A127" s="48" t="n"/>
      <c r="B127" s="49" t="n"/>
      <c r="C127" s="49" t="n"/>
      <c r="D127" s="26" t="n"/>
      <c r="E127" s="27" t="n"/>
      <c r="F127" s="27" t="n"/>
      <c r="G127" s="50" t="n"/>
      <c r="H127" s="29" t="n"/>
      <c r="I127" s="50" t="n"/>
      <c r="J127" s="52" t="n"/>
      <c r="K127" s="26" t="n"/>
    </row>
    <row r="128" ht="24.95" customHeight="1">
      <c r="A128" s="48" t="n"/>
      <c r="B128" s="49" t="n"/>
      <c r="C128" s="49" t="n"/>
      <c r="D128" s="26" t="n"/>
      <c r="E128" s="27" t="n"/>
      <c r="F128" s="27" t="n"/>
      <c r="G128" s="50" t="n"/>
      <c r="H128" s="29" t="n"/>
      <c r="I128" s="50" t="n"/>
      <c r="J128" s="52" t="n"/>
      <c r="K128" s="26" t="n"/>
    </row>
    <row r="129" ht="24.95" customHeight="1">
      <c r="A129" s="48" t="n"/>
      <c r="B129" s="49" t="n"/>
      <c r="C129" s="49" t="n"/>
      <c r="D129" s="26" t="n"/>
      <c r="E129" s="27" t="n"/>
      <c r="F129" s="27" t="n"/>
      <c r="G129" s="50" t="n"/>
      <c r="H129" s="29" t="n"/>
      <c r="I129" s="50" t="n"/>
      <c r="J129" s="52" t="n"/>
      <c r="K129" s="26" t="n"/>
    </row>
    <row r="130" ht="24.95" customHeight="1">
      <c r="A130" s="48" t="n"/>
      <c r="B130" s="49" t="n"/>
      <c r="C130" s="49" t="n"/>
      <c r="D130" s="26" t="n"/>
      <c r="E130" s="27" t="n"/>
      <c r="F130" s="27" t="n"/>
      <c r="G130" s="50" t="n"/>
      <c r="H130" s="29" t="n"/>
      <c r="I130" s="50" t="n"/>
      <c r="J130" s="52" t="n"/>
      <c r="K130" s="26" t="n"/>
    </row>
    <row r="131" ht="24.95" customHeight="1">
      <c r="A131" s="48" t="n"/>
      <c r="B131" s="49" t="n"/>
      <c r="C131" s="49" t="n"/>
      <c r="D131" s="26" t="n"/>
      <c r="E131" s="27" t="n"/>
      <c r="F131" s="27" t="n"/>
      <c r="G131" s="50" t="n"/>
      <c r="H131" s="29" t="n"/>
      <c r="I131" s="50" t="n"/>
      <c r="J131" s="52" t="n"/>
      <c r="K131" s="26" t="n"/>
    </row>
    <row r="132" ht="24.95" customHeight="1">
      <c r="A132" s="48" t="n"/>
      <c r="B132" s="49" t="n"/>
      <c r="C132" s="49" t="n"/>
      <c r="D132" s="26" t="n"/>
      <c r="E132" s="27" t="n"/>
      <c r="F132" s="27" t="n"/>
      <c r="G132" s="50" t="n"/>
      <c r="H132" s="29" t="n"/>
      <c r="I132" s="50" t="n"/>
      <c r="J132" s="52" t="n"/>
      <c r="K132" s="26" t="n"/>
    </row>
    <row r="133" ht="24.95" customHeight="1">
      <c r="A133" s="48" t="n"/>
      <c r="B133" s="49" t="n"/>
      <c r="C133" s="49" t="n"/>
      <c r="D133" s="26" t="n"/>
      <c r="E133" s="27" t="n"/>
      <c r="F133" s="27" t="n"/>
      <c r="G133" s="50" t="n"/>
      <c r="H133" s="29" t="n"/>
      <c r="I133" s="50" t="n"/>
      <c r="J133" s="52" t="n"/>
      <c r="K133" s="26" t="n"/>
    </row>
    <row r="134" ht="24.95" customHeight="1">
      <c r="A134" s="48" t="n"/>
      <c r="B134" s="49" t="n"/>
      <c r="C134" s="49" t="n"/>
      <c r="D134" s="26" t="n"/>
      <c r="E134" s="27" t="n"/>
      <c r="F134" s="27" t="n"/>
      <c r="G134" s="50" t="n"/>
      <c r="H134" s="29" t="n"/>
      <c r="I134" s="50" t="n"/>
      <c r="J134" s="52" t="n"/>
      <c r="K134" s="26" t="n"/>
    </row>
    <row r="135" ht="24.95" customHeight="1">
      <c r="A135" s="48" t="n"/>
      <c r="B135" s="49" t="n"/>
      <c r="C135" s="49" t="n"/>
      <c r="D135" s="26" t="n"/>
      <c r="E135" s="27" t="n"/>
      <c r="F135" s="27" t="n"/>
      <c r="G135" s="50" t="n"/>
      <c r="H135" s="29" t="n"/>
      <c r="I135" s="50" t="n"/>
      <c r="J135" s="52" t="n"/>
      <c r="K135" s="26" t="n"/>
    </row>
    <row r="136" ht="24.95" customHeight="1">
      <c r="A136" s="48" t="n"/>
      <c r="B136" s="49" t="n"/>
      <c r="C136" s="49" t="n"/>
      <c r="D136" s="26" t="n"/>
      <c r="E136" s="27" t="n"/>
      <c r="F136" s="27" t="n"/>
      <c r="G136" s="50" t="n"/>
      <c r="H136" s="29" t="n"/>
      <c r="I136" s="50" t="n"/>
      <c r="J136" s="52" t="n"/>
      <c r="K136" s="26" t="n"/>
    </row>
    <row r="137" ht="24.95" customHeight="1">
      <c r="A137" s="48" t="n"/>
      <c r="B137" s="49" t="n"/>
      <c r="C137" s="49" t="n"/>
      <c r="D137" s="26" t="n"/>
      <c r="E137" s="27" t="n"/>
      <c r="F137" s="27" t="n"/>
      <c r="G137" s="50" t="n"/>
      <c r="H137" s="29" t="n"/>
      <c r="I137" s="50" t="n"/>
      <c r="J137" s="52" t="n"/>
      <c r="K137" s="26" t="n"/>
    </row>
    <row r="138" ht="24.95" customHeight="1">
      <c r="A138" s="48" t="n"/>
      <c r="B138" s="49" t="n"/>
      <c r="C138" s="49" t="n"/>
      <c r="D138" s="26" t="n"/>
      <c r="E138" s="27" t="n"/>
      <c r="F138" s="27" t="n"/>
      <c r="G138" s="50" t="n"/>
      <c r="H138" s="29" t="n"/>
      <c r="I138" s="50" t="n"/>
      <c r="J138" s="52" t="n"/>
      <c r="K138" s="26" t="n"/>
    </row>
    <row r="139" ht="24.95" customHeight="1">
      <c r="A139" s="48" t="n"/>
      <c r="B139" s="49" t="n"/>
      <c r="C139" s="49" t="n"/>
      <c r="D139" s="26" t="n"/>
      <c r="E139" s="27" t="n"/>
      <c r="F139" s="27" t="n"/>
      <c r="G139" s="50" t="n"/>
      <c r="H139" s="29" t="n"/>
      <c r="I139" s="50" t="n"/>
      <c r="J139" s="52" t="n"/>
      <c r="K139" s="26" t="n"/>
    </row>
    <row r="140" ht="24.95" customHeight="1">
      <c r="A140" s="48" t="n"/>
      <c r="B140" s="49" t="n"/>
      <c r="C140" s="49" t="n"/>
      <c r="D140" s="26" t="n"/>
      <c r="E140" s="27" t="n"/>
      <c r="F140" s="27" t="n"/>
      <c r="G140" s="50" t="n"/>
      <c r="H140" s="29" t="n"/>
      <c r="I140" s="50" t="n"/>
      <c r="J140" s="52" t="n"/>
      <c r="K140" s="26" t="n"/>
    </row>
    <row r="141" ht="24.95" customHeight="1">
      <c r="A141" s="48" t="n"/>
      <c r="B141" s="49" t="n"/>
      <c r="C141" s="49" t="n"/>
      <c r="D141" s="26" t="n"/>
      <c r="E141" s="27" t="n"/>
      <c r="F141" s="27" t="n"/>
      <c r="G141" s="50" t="n"/>
      <c r="H141" s="29" t="n"/>
      <c r="I141" s="50" t="n"/>
      <c r="J141" s="52" t="n"/>
      <c r="K141" s="26" t="n"/>
    </row>
    <row r="142" ht="24.95" customHeight="1">
      <c r="A142" s="48" t="n"/>
      <c r="B142" s="49" t="n"/>
      <c r="C142" s="49" t="n"/>
      <c r="D142" s="26" t="n"/>
      <c r="E142" s="27" t="n"/>
      <c r="F142" s="27" t="n"/>
      <c r="G142" s="50" t="n"/>
      <c r="H142" s="29" t="n"/>
      <c r="I142" s="50" t="n"/>
      <c r="J142" s="52" t="n"/>
      <c r="K142" s="26" t="n"/>
    </row>
    <row r="143" ht="24.95" customHeight="1">
      <c r="A143" s="48" t="n"/>
      <c r="B143" s="49" t="n"/>
      <c r="C143" s="49" t="n"/>
      <c r="D143" s="26" t="n"/>
      <c r="E143" s="27" t="n"/>
      <c r="F143" s="27" t="n"/>
      <c r="G143" s="50" t="n"/>
      <c r="H143" s="29" t="n"/>
      <c r="I143" s="50" t="n"/>
      <c r="J143" s="52" t="n"/>
      <c r="K143" s="26" t="n"/>
    </row>
    <row r="144" ht="24.95" customHeight="1">
      <c r="A144" s="48" t="n"/>
      <c r="B144" s="49" t="n"/>
      <c r="C144" s="49" t="n"/>
      <c r="D144" s="26" t="n"/>
      <c r="E144" s="27" t="n"/>
      <c r="F144" s="27" t="n"/>
      <c r="G144" s="50" t="n"/>
      <c r="H144" s="29" t="n"/>
      <c r="I144" s="50" t="n"/>
      <c r="J144" s="52" t="n"/>
      <c r="K144" s="26" t="n"/>
    </row>
    <row r="145" ht="24.95" customHeight="1">
      <c r="A145" s="48" t="n"/>
      <c r="B145" s="49" t="n"/>
      <c r="C145" s="49" t="n"/>
      <c r="D145" s="26" t="n"/>
      <c r="E145" s="27" t="n"/>
      <c r="F145" s="27" t="n"/>
      <c r="G145" s="50" t="n"/>
      <c r="H145" s="29" t="n"/>
      <c r="I145" s="50" t="n"/>
      <c r="J145" s="52" t="n"/>
      <c r="K145" s="26" t="n"/>
    </row>
    <row r="146" ht="24.95" customHeight="1">
      <c r="A146" s="48" t="n"/>
      <c r="B146" s="49" t="n"/>
      <c r="C146" s="49" t="n"/>
      <c r="D146" s="26" t="n"/>
      <c r="E146" s="27" t="n"/>
      <c r="F146" s="27" t="n"/>
      <c r="G146" s="50" t="n"/>
      <c r="H146" s="29" t="n"/>
      <c r="I146" s="50" t="n"/>
      <c r="J146" s="52" t="n"/>
      <c r="K146" s="26" t="n"/>
    </row>
    <row r="147" ht="24.95" customHeight="1">
      <c r="A147" s="48" t="n"/>
      <c r="B147" s="49" t="n"/>
      <c r="C147" s="49" t="n"/>
      <c r="D147" s="26" t="n"/>
      <c r="E147" s="27" t="n"/>
      <c r="F147" s="27" t="n"/>
      <c r="G147" s="50" t="n"/>
      <c r="H147" s="29" t="n"/>
      <c r="I147" s="50" t="n"/>
      <c r="J147" s="52" t="n"/>
      <c r="K147" s="26" t="n"/>
    </row>
    <row r="148" ht="24.95" customHeight="1">
      <c r="A148" s="48" t="n"/>
      <c r="B148" s="49" t="n"/>
      <c r="C148" s="49" t="n"/>
      <c r="D148" s="26" t="n"/>
      <c r="E148" s="27" t="n"/>
      <c r="F148" s="27" t="n"/>
      <c r="G148" s="50" t="n"/>
      <c r="H148" s="29" t="n"/>
      <c r="I148" s="50" t="n"/>
      <c r="J148" s="52" t="n"/>
      <c r="K148" s="26" t="n"/>
    </row>
    <row r="149" ht="24.95" customHeight="1">
      <c r="A149" s="48" t="n"/>
      <c r="B149" s="49" t="n"/>
      <c r="C149" s="49" t="n"/>
      <c r="D149" s="26" t="n"/>
      <c r="E149" s="27" t="n"/>
      <c r="F149" s="27" t="n"/>
      <c r="G149" s="50" t="n"/>
      <c r="H149" s="29" t="n"/>
      <c r="I149" s="50" t="n"/>
      <c r="J149" s="52" t="n"/>
      <c r="K149" s="26" t="n"/>
    </row>
    <row r="150" ht="24.95" customHeight="1">
      <c r="A150" s="48" t="n"/>
      <c r="B150" s="49" t="n"/>
      <c r="C150" s="49" t="n"/>
      <c r="D150" s="26" t="n"/>
      <c r="E150" s="27" t="n"/>
      <c r="F150" s="27" t="n"/>
      <c r="G150" s="50" t="n"/>
      <c r="H150" s="29" t="n"/>
      <c r="I150" s="50" t="n"/>
      <c r="J150" s="52" t="n"/>
      <c r="K150" s="26" t="n"/>
    </row>
    <row r="151" ht="24.95" customHeight="1">
      <c r="A151" s="48" t="n"/>
      <c r="B151" s="49" t="n"/>
      <c r="C151" s="49" t="n"/>
      <c r="D151" s="26" t="n"/>
      <c r="E151" s="27" t="n"/>
      <c r="F151" s="27" t="n"/>
      <c r="G151" s="50" t="n"/>
      <c r="H151" s="29" t="n"/>
      <c r="I151" s="50" t="n"/>
      <c r="J151" s="52" t="n"/>
      <c r="K151" s="26" t="n"/>
    </row>
    <row r="152" ht="24.95" customHeight="1">
      <c r="A152" s="48" t="n"/>
      <c r="B152" s="49" t="n"/>
      <c r="C152" s="49" t="n"/>
      <c r="D152" s="26" t="n"/>
      <c r="E152" s="27" t="n"/>
      <c r="F152" s="27" t="n"/>
      <c r="G152" s="50" t="n"/>
      <c r="H152" s="29" t="n"/>
      <c r="I152" s="50" t="n"/>
      <c r="J152" s="52" t="n"/>
      <c r="K152" s="26" t="n"/>
    </row>
    <row r="153" ht="24.95" customHeight="1">
      <c r="A153" s="48" t="n"/>
      <c r="B153" s="49" t="n"/>
      <c r="C153" s="49" t="n"/>
      <c r="D153" s="26" t="n"/>
      <c r="E153" s="27" t="n"/>
      <c r="F153" s="27" t="n"/>
      <c r="G153" s="50" t="n"/>
      <c r="H153" s="29" t="n"/>
      <c r="I153" s="50" t="n"/>
      <c r="J153" s="52" t="n"/>
      <c r="K153" s="26" t="n"/>
    </row>
    <row r="154" ht="24.95" customHeight="1">
      <c r="A154" s="48" t="n"/>
      <c r="B154" s="49" t="n"/>
      <c r="C154" s="49" t="n"/>
      <c r="D154" s="26" t="n"/>
      <c r="E154" s="27" t="n"/>
      <c r="F154" s="27" t="n"/>
      <c r="G154" s="50" t="n"/>
      <c r="H154" s="29" t="n"/>
      <c r="I154" s="50" t="n"/>
      <c r="J154" s="52" t="n"/>
      <c r="K154" s="26" t="n"/>
    </row>
    <row r="155" ht="24.95" customHeight="1">
      <c r="A155" s="48" t="n"/>
      <c r="B155" s="49" t="n"/>
      <c r="C155" s="49" t="n"/>
      <c r="D155" s="26" t="n"/>
      <c r="E155" s="27" t="n"/>
      <c r="F155" s="27" t="n"/>
      <c r="G155" s="50" t="n"/>
      <c r="H155" s="29" t="n"/>
      <c r="I155" s="50" t="n"/>
      <c r="J155" s="52" t="n"/>
      <c r="K155" s="26" t="n"/>
    </row>
    <row r="156" ht="24.95" customHeight="1">
      <c r="A156" s="48" t="n"/>
      <c r="B156" s="49" t="n"/>
      <c r="C156" s="49" t="n"/>
      <c r="D156" s="26" t="n"/>
      <c r="E156" s="27" t="n"/>
      <c r="F156" s="27" t="n"/>
      <c r="G156" s="50" t="n"/>
      <c r="H156" s="29" t="n"/>
      <c r="I156" s="50" t="n"/>
      <c r="J156" s="52" t="n"/>
      <c r="K156" s="26" t="n"/>
    </row>
    <row r="157" ht="24.95" customHeight="1">
      <c r="A157" s="48" t="n"/>
      <c r="B157" s="49" t="n"/>
      <c r="C157" s="49" t="n"/>
      <c r="D157" s="26" t="n"/>
      <c r="E157" s="27" t="n"/>
      <c r="F157" s="27" t="n"/>
      <c r="G157" s="50" t="n"/>
      <c r="H157" s="29" t="n"/>
      <c r="I157" s="50" t="n"/>
      <c r="J157" s="52" t="n"/>
      <c r="K157" s="26" t="n"/>
    </row>
    <row r="158" ht="24.95" customHeight="1">
      <c r="A158" s="48" t="n"/>
      <c r="B158" s="49" t="n"/>
      <c r="C158" s="49" t="n"/>
      <c r="D158" s="26" t="n"/>
      <c r="E158" s="27" t="n"/>
      <c r="F158" s="27" t="n"/>
      <c r="G158" s="50" t="n"/>
      <c r="H158" s="29" t="n"/>
      <c r="I158" s="50" t="n"/>
      <c r="J158" s="52" t="n"/>
      <c r="K158" s="26" t="n"/>
    </row>
    <row r="159" ht="24.95" customHeight="1">
      <c r="A159" s="48" t="n"/>
      <c r="B159" s="49" t="n"/>
      <c r="C159" s="49" t="n"/>
      <c r="D159" s="26" t="n"/>
      <c r="E159" s="27" t="n"/>
      <c r="F159" s="27" t="n"/>
      <c r="G159" s="50" t="n"/>
      <c r="H159" s="29" t="n"/>
      <c r="I159" s="50" t="n"/>
      <c r="J159" s="52" t="n"/>
      <c r="K159" s="26" t="n"/>
    </row>
    <row r="160" ht="24.95" customHeight="1">
      <c r="A160" s="48" t="n"/>
      <c r="B160" s="49" t="n"/>
      <c r="C160" s="49" t="n"/>
      <c r="D160" s="26" t="n"/>
      <c r="E160" s="27" t="n"/>
      <c r="F160" s="27" t="n"/>
      <c r="G160" s="50" t="n"/>
      <c r="H160" s="29" t="n"/>
      <c r="I160" s="50" t="n"/>
      <c r="J160" s="52" t="n"/>
      <c r="K160" s="26" t="n"/>
    </row>
    <row r="161" ht="24.95" customHeight="1">
      <c r="A161" s="48" t="n"/>
      <c r="B161" s="49" t="n"/>
      <c r="C161" s="49" t="n"/>
      <c r="D161" s="26" t="n"/>
      <c r="E161" s="27" t="n"/>
      <c r="F161" s="27" t="n"/>
      <c r="G161" s="50" t="n"/>
      <c r="H161" s="29" t="n"/>
      <c r="I161" s="50" t="n"/>
      <c r="J161" s="52" t="n"/>
      <c r="K161" s="26" t="n"/>
    </row>
    <row r="162" ht="24.95" customHeight="1">
      <c r="A162" s="48" t="n"/>
      <c r="B162" s="49" t="n"/>
      <c r="C162" s="49" t="n"/>
      <c r="D162" s="26" t="n"/>
      <c r="E162" s="27" t="n"/>
      <c r="F162" s="27" t="n"/>
      <c r="G162" s="50" t="n"/>
      <c r="H162" s="29" t="n"/>
      <c r="I162" s="50" t="n"/>
      <c r="J162" s="52" t="n"/>
      <c r="K162" s="26" t="n"/>
    </row>
    <row r="163" ht="24.95" customHeight="1">
      <c r="A163" s="48" t="n"/>
      <c r="B163" s="49" t="n"/>
      <c r="C163" s="49" t="n"/>
      <c r="D163" s="26" t="n"/>
      <c r="E163" s="27" t="n"/>
      <c r="F163" s="27" t="n"/>
      <c r="G163" s="50" t="n"/>
      <c r="H163" s="29" t="n"/>
      <c r="I163" s="50" t="n"/>
      <c r="J163" s="52" t="n"/>
      <c r="K163" s="26" t="n"/>
    </row>
    <row r="164" ht="24.95" customHeight="1">
      <c r="A164" s="48" t="n"/>
      <c r="B164" s="49" t="n"/>
      <c r="C164" s="49" t="n"/>
      <c r="D164" s="26" t="n"/>
      <c r="E164" s="27" t="n"/>
      <c r="F164" s="27" t="n"/>
      <c r="G164" s="50" t="n"/>
      <c r="H164" s="29" t="n"/>
      <c r="I164" s="50" t="n"/>
      <c r="J164" s="52" t="n"/>
      <c r="K164" s="26" t="n"/>
    </row>
    <row r="165" ht="24.95" customHeight="1">
      <c r="A165" s="48" t="n"/>
      <c r="B165" s="49" t="n"/>
      <c r="C165" s="49" t="n"/>
      <c r="D165" s="26" t="n"/>
      <c r="E165" s="27" t="n"/>
      <c r="F165" s="27" t="n"/>
      <c r="G165" s="50" t="n"/>
      <c r="H165" s="29" t="n"/>
      <c r="I165" s="50" t="n"/>
      <c r="J165" s="52" t="n"/>
      <c r="K165" s="26" t="n"/>
    </row>
    <row r="166" ht="24.95" customHeight="1">
      <c r="A166" s="48" t="n"/>
      <c r="B166" s="49" t="n"/>
      <c r="C166" s="49" t="n"/>
      <c r="D166" s="26" t="n"/>
      <c r="E166" s="27" t="n"/>
      <c r="F166" s="27" t="n"/>
      <c r="G166" s="50" t="n"/>
      <c r="H166" s="29" t="n"/>
      <c r="I166" s="50" t="n"/>
      <c r="J166" s="52" t="n"/>
      <c r="K166" s="26" t="n"/>
    </row>
    <row r="167" ht="24.95" customHeight="1">
      <c r="A167" s="48" t="n"/>
      <c r="B167" s="49" t="n"/>
      <c r="C167" s="49" t="n"/>
      <c r="D167" s="26" t="n"/>
      <c r="E167" s="27" t="n"/>
      <c r="F167" s="27" t="n"/>
      <c r="G167" s="50" t="n"/>
      <c r="H167" s="29" t="n"/>
      <c r="I167" s="50" t="n"/>
      <c r="J167" s="52" t="n"/>
      <c r="K167" s="26" t="n"/>
    </row>
    <row r="168" ht="24.95" customHeight="1">
      <c r="A168" s="48" t="n"/>
      <c r="B168" s="49" t="n"/>
      <c r="C168" s="49" t="n"/>
      <c r="D168" s="26" t="n"/>
      <c r="E168" s="27" t="n"/>
      <c r="F168" s="27" t="n"/>
      <c r="G168" s="50" t="n"/>
      <c r="H168" s="29" t="n"/>
      <c r="I168" s="50" t="n"/>
      <c r="J168" s="52" t="n"/>
      <c r="K168" s="26" t="n"/>
    </row>
    <row r="169" ht="24.95" customHeight="1">
      <c r="A169" s="48" t="n"/>
      <c r="B169" s="49" t="n"/>
      <c r="C169" s="49" t="n"/>
      <c r="D169" s="26" t="n"/>
      <c r="E169" s="27" t="n"/>
      <c r="F169" s="27" t="n"/>
      <c r="G169" s="50" t="n"/>
      <c r="H169" s="29" t="n"/>
      <c r="I169" s="50" t="n"/>
      <c r="J169" s="52" t="n"/>
      <c r="K169" s="26" t="n"/>
    </row>
    <row r="170" ht="24.95" customHeight="1">
      <c r="A170" s="48" t="n"/>
      <c r="B170" s="49" t="n"/>
      <c r="C170" s="49" t="n"/>
      <c r="D170" s="26" t="n"/>
      <c r="E170" s="27" t="n"/>
      <c r="F170" s="27" t="n"/>
      <c r="G170" s="50" t="n"/>
      <c r="H170" s="29" t="n"/>
      <c r="I170" s="50" t="n"/>
      <c r="J170" s="52" t="n"/>
      <c r="K170" s="26" t="n"/>
    </row>
    <row r="171" ht="24.95" customHeight="1">
      <c r="A171" s="48" t="n"/>
      <c r="B171" s="49" t="n"/>
      <c r="C171" s="49" t="n"/>
      <c r="D171" s="26" t="n"/>
      <c r="E171" s="27" t="n"/>
      <c r="F171" s="27" t="n"/>
      <c r="G171" s="50" t="n"/>
      <c r="H171" s="29" t="n"/>
      <c r="I171" s="50" t="n"/>
      <c r="J171" s="52" t="n"/>
      <c r="K171" s="26" t="n"/>
    </row>
    <row r="172" ht="24.95" customHeight="1">
      <c r="A172" s="48" t="n"/>
      <c r="B172" s="49" t="n"/>
      <c r="C172" s="49" t="n"/>
      <c r="D172" s="26" t="n"/>
      <c r="E172" s="27" t="n"/>
      <c r="F172" s="27" t="n"/>
      <c r="G172" s="50" t="n"/>
      <c r="H172" s="29" t="n"/>
      <c r="I172" s="50" t="n"/>
      <c r="J172" s="52" t="n"/>
      <c r="K172" s="26" t="n"/>
    </row>
    <row r="173" ht="24.95" customHeight="1">
      <c r="A173" s="48" t="n"/>
      <c r="B173" s="49" t="n"/>
      <c r="C173" s="49" t="n"/>
      <c r="D173" s="26" t="n"/>
      <c r="E173" s="27" t="n"/>
      <c r="F173" s="27" t="n"/>
      <c r="G173" s="50" t="n"/>
      <c r="H173" s="29" t="n"/>
      <c r="I173" s="50" t="n"/>
      <c r="J173" s="52" t="n"/>
      <c r="K173" s="26" t="n"/>
    </row>
    <row r="174" ht="24.95" customHeight="1">
      <c r="A174" s="48" t="n"/>
      <c r="B174" s="49" t="n"/>
      <c r="C174" s="49" t="n"/>
      <c r="D174" s="26" t="n"/>
      <c r="E174" s="27" t="n"/>
      <c r="F174" s="27" t="n"/>
      <c r="G174" s="50" t="n"/>
      <c r="H174" s="29" t="n"/>
      <c r="I174" s="50" t="n"/>
      <c r="J174" s="52" t="n"/>
      <c r="K174" s="26" t="n"/>
    </row>
    <row r="175" ht="24.95" customHeight="1">
      <c r="A175" s="48" t="n"/>
      <c r="B175" s="49" t="n"/>
      <c r="C175" s="49" t="n"/>
      <c r="D175" s="26" t="n"/>
      <c r="E175" s="27" t="n"/>
      <c r="F175" s="27" t="n"/>
      <c r="G175" s="50" t="n"/>
      <c r="H175" s="29" t="n"/>
      <c r="I175" s="50" t="n"/>
      <c r="J175" s="52" t="n"/>
      <c r="K175" s="26" t="n"/>
    </row>
    <row r="176" ht="24.95" customHeight="1">
      <c r="A176" s="48" t="n"/>
      <c r="B176" s="49" t="n"/>
      <c r="C176" s="49" t="n"/>
      <c r="D176" s="26" t="n"/>
      <c r="E176" s="27" t="n"/>
      <c r="F176" s="27" t="n"/>
      <c r="G176" s="50" t="n"/>
      <c r="H176" s="29" t="n"/>
      <c r="I176" s="50" t="n"/>
      <c r="J176" s="52" t="n"/>
      <c r="K176" s="26" t="n"/>
    </row>
    <row r="177" ht="24.95" customHeight="1">
      <c r="A177" s="48" t="n"/>
      <c r="B177" s="49" t="n"/>
      <c r="C177" s="49" t="n"/>
      <c r="D177" s="26" t="n"/>
      <c r="E177" s="27" t="n"/>
      <c r="F177" s="27" t="n"/>
      <c r="G177" s="50" t="n"/>
      <c r="H177" s="29" t="n"/>
      <c r="I177" s="50" t="n"/>
      <c r="J177" s="52" t="n"/>
      <c r="K177" s="26" t="n"/>
    </row>
    <row r="178" ht="24.95" customHeight="1">
      <c r="A178" s="48" t="n"/>
      <c r="B178" s="49" t="n"/>
      <c r="C178" s="49" t="n"/>
      <c r="D178" s="26" t="n"/>
      <c r="E178" s="27" t="n"/>
      <c r="F178" s="27" t="n"/>
      <c r="G178" s="50" t="n"/>
      <c r="H178" s="29" t="n"/>
      <c r="I178" s="50" t="n"/>
      <c r="J178" s="52" t="n"/>
      <c r="K178" s="26" t="n"/>
    </row>
    <row r="179" ht="24.95" customHeight="1">
      <c r="A179" s="48" t="n"/>
      <c r="B179" s="49" t="n"/>
      <c r="C179" s="49" t="n"/>
      <c r="D179" s="26" t="n"/>
      <c r="E179" s="27" t="n"/>
      <c r="F179" s="27" t="n"/>
      <c r="G179" s="50" t="n"/>
      <c r="H179" s="29" t="n"/>
      <c r="I179" s="50" t="n"/>
      <c r="J179" s="52" t="n"/>
      <c r="K179" s="26" t="n"/>
    </row>
    <row r="180" ht="24.95" customHeight="1">
      <c r="A180" s="48" t="n"/>
      <c r="B180" s="49" t="n"/>
      <c r="C180" s="49" t="n"/>
      <c r="D180" s="26" t="n"/>
      <c r="E180" s="27" t="n"/>
      <c r="F180" s="27" t="n"/>
      <c r="G180" s="50" t="n"/>
      <c r="H180" s="29" t="n"/>
      <c r="I180" s="50" t="n"/>
      <c r="J180" s="52" t="n"/>
      <c r="K180" s="26" t="n"/>
    </row>
    <row r="181" ht="24.95" customHeight="1">
      <c r="A181" s="48" t="n"/>
      <c r="B181" s="49" t="n"/>
      <c r="C181" s="49" t="n"/>
      <c r="D181" s="26" t="n"/>
      <c r="E181" s="27" t="n"/>
      <c r="F181" s="27" t="n"/>
      <c r="G181" s="50" t="n"/>
      <c r="H181" s="29" t="n"/>
      <c r="I181" s="50" t="n"/>
      <c r="J181" s="52" t="n"/>
      <c r="K181" s="26" t="n"/>
    </row>
    <row r="182" ht="24.95" customHeight="1">
      <c r="A182" s="48" t="n"/>
      <c r="B182" s="49" t="n"/>
      <c r="C182" s="49" t="n"/>
      <c r="D182" s="26" t="n"/>
      <c r="E182" s="27" t="n"/>
      <c r="F182" s="27" t="n"/>
      <c r="G182" s="50" t="n"/>
      <c r="H182" s="29" t="n"/>
      <c r="I182" s="50" t="n"/>
      <c r="J182" s="52" t="n"/>
      <c r="K182" s="26" t="n"/>
    </row>
    <row r="183" ht="24.95" customHeight="1">
      <c r="A183" s="48" t="n"/>
      <c r="B183" s="49" t="n"/>
      <c r="C183" s="49" t="n"/>
      <c r="D183" s="26" t="n"/>
      <c r="E183" s="27" t="n"/>
      <c r="F183" s="27" t="n"/>
      <c r="G183" s="50" t="n"/>
      <c r="H183" s="29" t="n"/>
      <c r="I183" s="50" t="n"/>
      <c r="J183" s="52" t="n"/>
      <c r="K183" s="26" t="n"/>
    </row>
    <row r="184" ht="24.95" customHeight="1">
      <c r="A184" s="48" t="n"/>
      <c r="B184" s="49" t="n"/>
      <c r="C184" s="49" t="n"/>
      <c r="D184" s="26" t="n"/>
      <c r="E184" s="27" t="n"/>
      <c r="F184" s="27" t="n"/>
      <c r="G184" s="50" t="n"/>
      <c r="H184" s="29" t="n"/>
      <c r="I184" s="50" t="n"/>
      <c r="J184" s="52" t="n"/>
      <c r="K184" s="26" t="n"/>
    </row>
    <row r="185" ht="24.95" customHeight="1">
      <c r="A185" s="48" t="n"/>
      <c r="B185" s="49" t="n"/>
      <c r="C185" s="49" t="n"/>
      <c r="D185" s="26" t="n"/>
      <c r="E185" s="27" t="n"/>
      <c r="F185" s="27" t="n"/>
      <c r="G185" s="50" t="n"/>
      <c r="H185" s="29" t="n"/>
      <c r="I185" s="50" t="n"/>
      <c r="J185" s="52" t="n"/>
      <c r="K185" s="26" t="n"/>
    </row>
    <row r="186" ht="24.95" customHeight="1">
      <c r="A186" s="48" t="n"/>
      <c r="B186" s="49" t="n"/>
      <c r="C186" s="49" t="n"/>
      <c r="D186" s="26" t="n"/>
      <c r="E186" s="27" t="n"/>
      <c r="F186" s="27" t="n"/>
      <c r="G186" s="50" t="n"/>
      <c r="H186" s="29" t="n"/>
      <c r="I186" s="50" t="n"/>
      <c r="J186" s="52" t="n"/>
      <c r="K186" s="26" t="n"/>
    </row>
    <row r="187" ht="24.95" customHeight="1">
      <c r="A187" s="48" t="n"/>
      <c r="B187" s="49" t="n"/>
      <c r="C187" s="49" t="n"/>
      <c r="D187" s="26" t="n"/>
      <c r="E187" s="27" t="n"/>
      <c r="F187" s="27" t="n"/>
      <c r="G187" s="50" t="n"/>
      <c r="H187" s="29" t="n"/>
      <c r="I187" s="50" t="n"/>
      <c r="J187" s="52" t="n"/>
      <c r="K187" s="26" t="n"/>
    </row>
    <row r="188" ht="24.95" customHeight="1">
      <c r="A188" s="48" t="n"/>
      <c r="B188" s="49" t="n"/>
      <c r="C188" s="49" t="n"/>
      <c r="D188" s="26" t="n"/>
      <c r="E188" s="27" t="n"/>
      <c r="F188" s="27" t="n"/>
      <c r="G188" s="50" t="n"/>
      <c r="H188" s="29" t="n"/>
      <c r="I188" s="50" t="n"/>
      <c r="J188" s="52" t="n"/>
      <c r="K188" s="26" t="n"/>
    </row>
    <row r="189" ht="24.95" customHeight="1">
      <c r="A189" s="48" t="n"/>
      <c r="B189" s="49" t="n"/>
      <c r="C189" s="49" t="n"/>
      <c r="D189" s="26" t="n"/>
      <c r="E189" s="27" t="n"/>
      <c r="F189" s="27" t="n"/>
      <c r="G189" s="50" t="n"/>
      <c r="H189" s="29" t="n"/>
      <c r="I189" s="50" t="n"/>
      <c r="J189" s="52" t="n"/>
      <c r="K189" s="26" t="n"/>
    </row>
    <row r="190" ht="24.95" customHeight="1">
      <c r="A190" s="48" t="n"/>
      <c r="B190" s="49" t="n"/>
      <c r="C190" s="49" t="n"/>
      <c r="D190" s="26" t="n"/>
      <c r="E190" s="27" t="n"/>
      <c r="F190" s="27" t="n"/>
      <c r="G190" s="50" t="n"/>
      <c r="H190" s="29" t="n"/>
      <c r="I190" s="50" t="n"/>
      <c r="J190" s="52" t="n"/>
      <c r="K190" s="26" t="n"/>
    </row>
    <row r="191" ht="24.95" customHeight="1">
      <c r="A191" s="48" t="n"/>
      <c r="B191" s="49" t="n"/>
      <c r="C191" s="49" t="n"/>
      <c r="D191" s="26" t="n"/>
      <c r="E191" s="27" t="n"/>
      <c r="F191" s="27" t="n"/>
      <c r="G191" s="50" t="n"/>
      <c r="H191" s="29" t="n"/>
      <c r="I191" s="50" t="n"/>
      <c r="J191" s="52" t="n"/>
      <c r="K191" s="26" t="n"/>
    </row>
    <row r="192" ht="24.95" customHeight="1">
      <c r="A192" s="48" t="n"/>
      <c r="B192" s="49" t="n"/>
      <c r="C192" s="49" t="n"/>
      <c r="D192" s="26" t="n"/>
      <c r="E192" s="27" t="n"/>
      <c r="F192" s="27" t="n"/>
      <c r="G192" s="50" t="n"/>
      <c r="H192" s="29" t="n"/>
      <c r="I192" s="50" t="n"/>
      <c r="J192" s="52" t="n"/>
      <c r="K192" s="26" t="n"/>
    </row>
    <row r="193" ht="24.95" customHeight="1">
      <c r="A193" s="48" t="n"/>
      <c r="B193" s="49" t="n"/>
      <c r="C193" s="49" t="n"/>
      <c r="D193" s="26" t="n"/>
      <c r="E193" s="27" t="n"/>
      <c r="F193" s="27" t="n"/>
      <c r="G193" s="50" t="n"/>
      <c r="H193" s="29" t="n"/>
      <c r="I193" s="50" t="n"/>
      <c r="J193" s="52" t="n"/>
      <c r="K193" s="26" t="n"/>
    </row>
    <row r="194" ht="24.95" customHeight="1">
      <c r="A194" s="48" t="n"/>
      <c r="B194" s="49" t="n"/>
      <c r="C194" s="49" t="n"/>
      <c r="D194" s="26" t="n"/>
      <c r="E194" s="27" t="n"/>
      <c r="F194" s="27" t="n"/>
      <c r="G194" s="50" t="n"/>
      <c r="H194" s="29" t="n"/>
      <c r="I194" s="50" t="n"/>
      <c r="J194" s="52" t="n"/>
      <c r="K194" s="26" t="n"/>
    </row>
    <row r="195" ht="24.95" customHeight="1">
      <c r="A195" s="48" t="n"/>
      <c r="B195" s="49" t="n"/>
      <c r="C195" s="49" t="n"/>
      <c r="D195" s="26" t="n"/>
      <c r="E195" s="27" t="n"/>
      <c r="F195" s="27" t="n"/>
      <c r="G195" s="50" t="n"/>
      <c r="H195" s="29" t="n"/>
      <c r="I195" s="50" t="n"/>
      <c r="J195" s="52" t="n"/>
      <c r="K195" s="26" t="n"/>
    </row>
    <row r="196" ht="24.95" customHeight="1">
      <c r="A196" s="48" t="n"/>
      <c r="B196" s="49" t="n"/>
      <c r="C196" s="49" t="n"/>
      <c r="D196" s="26" t="n"/>
      <c r="E196" s="27" t="n"/>
      <c r="F196" s="27" t="n"/>
      <c r="G196" s="50" t="n"/>
      <c r="H196" s="29" t="n"/>
      <c r="I196" s="50" t="n"/>
      <c r="J196" s="52" t="n"/>
      <c r="K196" s="26" t="n"/>
    </row>
    <row r="197" ht="24.95" customHeight="1">
      <c r="A197" s="48" t="n"/>
      <c r="B197" s="49" t="n"/>
      <c r="C197" s="49" t="n"/>
      <c r="D197" s="26" t="n"/>
      <c r="E197" s="27" t="n"/>
      <c r="F197" s="27" t="n"/>
      <c r="G197" s="50" t="n"/>
      <c r="H197" s="29" t="n"/>
      <c r="I197" s="50" t="n"/>
      <c r="J197" s="52" t="n"/>
      <c r="K197" s="26" t="n"/>
    </row>
    <row r="198" ht="24.95" customHeight="1">
      <c r="A198" s="48" t="n"/>
      <c r="B198" s="49" t="n"/>
      <c r="C198" s="49" t="n"/>
      <c r="D198" s="26" t="n"/>
      <c r="E198" s="27" t="n"/>
      <c r="F198" s="27" t="n"/>
      <c r="G198" s="50" t="n"/>
      <c r="H198" s="29" t="n"/>
      <c r="I198" s="50" t="n"/>
      <c r="J198" s="52" t="n"/>
      <c r="K198" s="26" t="n"/>
    </row>
    <row r="199" ht="24.95" customHeight="1">
      <c r="A199" s="48" t="n"/>
      <c r="B199" s="49" t="n"/>
      <c r="C199" s="49" t="n"/>
      <c r="D199" s="26" t="n"/>
      <c r="E199" s="27" t="n"/>
      <c r="F199" s="27" t="n"/>
      <c r="G199" s="50" t="n"/>
      <c r="H199" s="29" t="n"/>
      <c r="I199" s="50" t="n"/>
      <c r="J199" s="52" t="n"/>
      <c r="K199" s="26" t="n"/>
    </row>
    <row r="200" ht="24.95" customHeight="1">
      <c r="A200" s="48" t="n"/>
      <c r="B200" s="49" t="n"/>
      <c r="C200" s="49" t="n"/>
      <c r="D200" s="26" t="n"/>
      <c r="E200" s="27" t="n"/>
      <c r="F200" s="27" t="n"/>
      <c r="G200" s="50" t="n"/>
      <c r="H200" s="29" t="n"/>
      <c r="I200" s="50" t="n"/>
      <c r="J200" s="52" t="n"/>
      <c r="K200" s="26" t="n"/>
    </row>
    <row r="201" ht="24.95" customHeight="1">
      <c r="A201" s="48" t="n"/>
      <c r="B201" s="49" t="n"/>
      <c r="C201" s="49" t="n"/>
      <c r="D201" s="26" t="n"/>
      <c r="E201" s="27" t="n"/>
      <c r="F201" s="27" t="n"/>
      <c r="G201" s="50" t="n"/>
      <c r="H201" s="29" t="n"/>
      <c r="I201" s="50" t="n"/>
      <c r="J201" s="52" t="n"/>
      <c r="K201" s="26" t="n"/>
    </row>
    <row r="202" ht="24.95" customHeight="1">
      <c r="A202" s="48" t="n"/>
      <c r="B202" s="49" t="n"/>
      <c r="C202" s="49" t="n"/>
      <c r="D202" s="26" t="n"/>
      <c r="E202" s="27" t="n"/>
      <c r="F202" s="27" t="n"/>
      <c r="G202" s="50" t="n"/>
      <c r="H202" s="29" t="n"/>
      <c r="I202" s="50" t="n"/>
      <c r="J202" s="52" t="n"/>
      <c r="K202" s="26" t="n"/>
    </row>
    <row r="203" ht="24.95" customHeight="1">
      <c r="A203" s="48" t="n"/>
      <c r="B203" s="49" t="n"/>
      <c r="C203" s="49" t="n"/>
      <c r="D203" s="26" t="n"/>
      <c r="E203" s="27" t="n"/>
      <c r="F203" s="27" t="n"/>
      <c r="G203" s="50" t="n"/>
      <c r="H203" s="29" t="n"/>
      <c r="I203" s="50" t="n"/>
      <c r="J203" s="52" t="n"/>
      <c r="K203" s="26" t="n"/>
    </row>
    <row r="204" ht="24.95" customHeight="1">
      <c r="A204" s="48" t="n"/>
      <c r="B204" s="49" t="n"/>
      <c r="C204" s="49" t="n"/>
      <c r="D204" s="26" t="n"/>
      <c r="E204" s="27" t="n"/>
      <c r="F204" s="27" t="n"/>
      <c r="G204" s="50" t="n"/>
      <c r="H204" s="29" t="n"/>
      <c r="I204" s="50" t="n"/>
      <c r="J204" s="52" t="n"/>
      <c r="K204" s="26" t="n"/>
    </row>
    <row r="205" ht="24.95" customHeight="1">
      <c r="A205" s="48" t="n"/>
      <c r="B205" s="49" t="n"/>
      <c r="C205" s="49" t="n"/>
      <c r="D205" s="26" t="n"/>
      <c r="E205" s="27" t="n"/>
      <c r="F205" s="27" t="n"/>
      <c r="G205" s="50" t="n"/>
      <c r="H205" s="29" t="n"/>
      <c r="I205" s="50" t="n"/>
      <c r="J205" s="52" t="n"/>
      <c r="K205" s="26" t="n"/>
    </row>
    <row r="206" ht="24.95" customHeight="1">
      <c r="A206" s="48" t="n"/>
      <c r="B206" s="49" t="n"/>
      <c r="C206" s="49" t="n"/>
      <c r="D206" s="26" t="n"/>
      <c r="E206" s="27" t="n"/>
      <c r="F206" s="27" t="n"/>
      <c r="G206" s="50" t="n"/>
      <c r="H206" s="29" t="n"/>
      <c r="I206" s="50" t="n"/>
      <c r="J206" s="52" t="n"/>
      <c r="K206" s="26" t="n"/>
    </row>
    <row r="207" ht="24.95" customHeight="1">
      <c r="A207" s="48" t="n"/>
      <c r="B207" s="49" t="n"/>
      <c r="C207" s="49" t="n"/>
      <c r="D207" s="26" t="n"/>
      <c r="E207" s="27" t="n"/>
      <c r="F207" s="27" t="n"/>
      <c r="G207" s="50" t="n"/>
      <c r="H207" s="29" t="n"/>
      <c r="I207" s="50" t="n"/>
      <c r="J207" s="52" t="n"/>
      <c r="K207" s="26" t="n"/>
    </row>
    <row r="208" ht="24.95" customHeight="1">
      <c r="A208" s="48" t="n"/>
      <c r="B208" s="49" t="n"/>
      <c r="C208" s="49" t="n"/>
      <c r="D208" s="26" t="n"/>
      <c r="E208" s="27" t="n"/>
      <c r="F208" s="27" t="n"/>
      <c r="G208" s="50" t="n"/>
      <c r="H208" s="29" t="n"/>
      <c r="I208" s="50" t="n"/>
      <c r="J208" s="52" t="n"/>
      <c r="K208" s="26" t="n"/>
    </row>
    <row r="209" ht="24.95" customHeight="1">
      <c r="A209" s="48" t="n"/>
      <c r="B209" s="49" t="n"/>
      <c r="C209" s="49" t="n"/>
      <c r="D209" s="26" t="n"/>
      <c r="E209" s="27" t="n"/>
      <c r="F209" s="27" t="n"/>
      <c r="G209" s="50" t="n"/>
      <c r="H209" s="29" t="n"/>
      <c r="I209" s="50" t="n"/>
      <c r="J209" s="52" t="n"/>
      <c r="K209" s="26" t="n"/>
    </row>
    <row r="210" ht="24.95" customHeight="1">
      <c r="A210" s="48" t="n"/>
      <c r="B210" s="49" t="n"/>
      <c r="C210" s="49" t="n"/>
      <c r="D210" s="26" t="n"/>
      <c r="E210" s="27" t="n"/>
      <c r="F210" s="27" t="n"/>
      <c r="G210" s="50" t="n"/>
      <c r="H210" s="29" t="n"/>
      <c r="I210" s="50" t="n"/>
      <c r="J210" s="52" t="n"/>
      <c r="K210" s="26" t="n"/>
    </row>
    <row r="211" ht="24.95" customHeight="1">
      <c r="A211" s="48" t="n"/>
      <c r="B211" s="49" t="n"/>
      <c r="C211" s="49" t="n"/>
      <c r="D211" s="26" t="n"/>
      <c r="E211" s="27" t="n"/>
      <c r="F211" s="27" t="n"/>
      <c r="G211" s="50" t="n"/>
      <c r="H211" s="29" t="n"/>
      <c r="I211" s="50" t="n"/>
      <c r="J211" s="52" t="n"/>
      <c r="K211" s="26" t="n"/>
    </row>
    <row r="212" ht="24.95" customHeight="1">
      <c r="A212" s="48" t="n"/>
      <c r="B212" s="49" t="n"/>
      <c r="C212" s="49" t="n"/>
      <c r="D212" s="26" t="n"/>
      <c r="E212" s="27" t="n"/>
      <c r="F212" s="27" t="n"/>
      <c r="G212" s="50" t="n"/>
      <c r="H212" s="29" t="n"/>
      <c r="I212" s="50" t="n"/>
      <c r="J212" s="52" t="n"/>
      <c r="K212" s="26" t="n"/>
    </row>
    <row r="213" ht="24.95" customHeight="1">
      <c r="A213" s="48" t="n"/>
      <c r="B213" s="49" t="n"/>
      <c r="C213" s="49" t="n"/>
      <c r="D213" s="26" t="n"/>
      <c r="E213" s="27" t="n"/>
      <c r="F213" s="27" t="n"/>
      <c r="G213" s="50" t="n"/>
      <c r="H213" s="29" t="n"/>
      <c r="I213" s="50" t="n"/>
      <c r="J213" s="52" t="n"/>
      <c r="K213" s="26" t="n"/>
    </row>
    <row r="214" ht="24.95" customHeight="1">
      <c r="A214" s="48" t="n"/>
      <c r="B214" s="49" t="n"/>
      <c r="C214" s="49" t="n"/>
      <c r="D214" s="26" t="n"/>
      <c r="E214" s="27" t="n"/>
      <c r="F214" s="27" t="n"/>
      <c r="G214" s="50" t="n"/>
      <c r="H214" s="29" t="n"/>
      <c r="I214" s="50" t="n"/>
      <c r="J214" s="52" t="n"/>
      <c r="K214" s="26" t="n"/>
    </row>
    <row r="215" ht="24.95" customHeight="1">
      <c r="A215" s="48" t="n"/>
      <c r="B215" s="49" t="n"/>
      <c r="C215" s="49" t="n"/>
      <c r="D215" s="26" t="n"/>
      <c r="E215" s="27" t="n"/>
      <c r="F215" s="27" t="n"/>
      <c r="G215" s="50" t="n"/>
      <c r="H215" s="29" t="n"/>
      <c r="I215" s="50" t="n"/>
      <c r="J215" s="52" t="n"/>
      <c r="K215" s="26" t="n"/>
    </row>
    <row r="216" ht="24.95" customHeight="1">
      <c r="A216" s="48" t="n"/>
      <c r="B216" s="49" t="n"/>
      <c r="C216" s="49" t="n"/>
      <c r="D216" s="26" t="n"/>
      <c r="E216" s="27" t="n"/>
      <c r="F216" s="27" t="n"/>
      <c r="G216" s="50" t="n"/>
      <c r="H216" s="29" t="n"/>
      <c r="I216" s="50" t="n"/>
      <c r="J216" s="52" t="n"/>
      <c r="K216" s="26" t="n"/>
    </row>
    <row r="217" ht="24.95" customHeight="1">
      <c r="A217" s="48" t="n"/>
      <c r="B217" s="49" t="n"/>
      <c r="C217" s="49" t="n"/>
      <c r="D217" s="26" t="n"/>
      <c r="E217" s="27" t="n"/>
      <c r="F217" s="27" t="n"/>
      <c r="G217" s="50" t="n"/>
      <c r="H217" s="29" t="n"/>
      <c r="I217" s="50" t="n"/>
      <c r="J217" s="52" t="n"/>
      <c r="K217" s="26" t="n"/>
    </row>
    <row r="218" ht="24.95" customHeight="1">
      <c r="A218" s="48" t="n"/>
      <c r="B218" s="49" t="n"/>
      <c r="C218" s="49" t="n"/>
      <c r="D218" s="26" t="n"/>
      <c r="E218" s="27" t="n"/>
      <c r="F218" s="27" t="n"/>
      <c r="G218" s="50" t="n"/>
      <c r="H218" s="29" t="n"/>
      <c r="I218" s="50" t="n"/>
      <c r="J218" s="52" t="n"/>
      <c r="K218" s="26" t="n"/>
    </row>
    <row r="219" ht="24.95" customHeight="1">
      <c r="A219" s="48" t="n"/>
      <c r="B219" s="49" t="n"/>
      <c r="C219" s="49" t="n"/>
      <c r="D219" s="26" t="n"/>
      <c r="E219" s="27" t="n"/>
      <c r="F219" s="27" t="n"/>
      <c r="G219" s="50" t="n"/>
      <c r="H219" s="29" t="n"/>
      <c r="I219" s="50" t="n"/>
      <c r="J219" s="52" t="n"/>
      <c r="K219" s="26" t="n"/>
    </row>
    <row r="220" ht="24.95" customHeight="1">
      <c r="A220" s="48" t="n"/>
      <c r="B220" s="49" t="n"/>
      <c r="C220" s="49" t="n"/>
      <c r="D220" s="26" t="n"/>
      <c r="E220" s="27" t="n"/>
      <c r="F220" s="27" t="n"/>
      <c r="G220" s="50" t="n"/>
      <c r="H220" s="29" t="n"/>
      <c r="I220" s="50" t="n"/>
      <c r="J220" s="52" t="n"/>
      <c r="K220" s="26" t="n"/>
    </row>
    <row r="221" ht="24.95" customHeight="1">
      <c r="A221" s="48" t="n"/>
      <c r="B221" s="49" t="n"/>
      <c r="C221" s="49" t="n"/>
      <c r="D221" s="26" t="n"/>
      <c r="E221" s="27" t="n"/>
      <c r="F221" s="27" t="n"/>
      <c r="G221" s="50" t="n"/>
      <c r="H221" s="29" t="n"/>
      <c r="I221" s="50" t="n"/>
      <c r="J221" s="52" t="n"/>
      <c r="K221" s="26" t="n"/>
    </row>
    <row r="222" ht="24.95" customHeight="1">
      <c r="A222" s="48" t="n"/>
      <c r="B222" s="49" t="n"/>
      <c r="C222" s="49" t="n"/>
      <c r="D222" s="26" t="n"/>
      <c r="E222" s="27" t="n"/>
      <c r="F222" s="27" t="n"/>
      <c r="G222" s="50" t="n"/>
      <c r="H222" s="29" t="n"/>
      <c r="I222" s="50" t="n"/>
      <c r="J222" s="52" t="n"/>
      <c r="K222" s="26" t="n"/>
    </row>
    <row r="223" ht="24.95" customHeight="1">
      <c r="A223" s="48" t="n"/>
      <c r="B223" s="49" t="n"/>
      <c r="C223" s="49" t="n"/>
      <c r="D223" s="26" t="n"/>
      <c r="E223" s="27" t="n"/>
      <c r="F223" s="27" t="n"/>
      <c r="G223" s="50" t="n"/>
      <c r="H223" s="29" t="n"/>
      <c r="I223" s="50" t="n"/>
      <c r="J223" s="52" t="n"/>
      <c r="K223" s="26" t="n"/>
    </row>
    <row r="224" ht="24.95" customHeight="1">
      <c r="A224" s="48" t="n"/>
      <c r="B224" s="49" t="n"/>
      <c r="C224" s="49" t="n"/>
      <c r="D224" s="26" t="n"/>
      <c r="E224" s="27" t="n"/>
      <c r="F224" s="27" t="n"/>
      <c r="G224" s="50" t="n"/>
      <c r="H224" s="29" t="n"/>
      <c r="I224" s="50" t="n"/>
      <c r="J224" s="52" t="n"/>
      <c r="K224" s="26" t="n"/>
    </row>
    <row r="225" ht="24.95" customHeight="1">
      <c r="A225" s="48" t="n"/>
      <c r="B225" s="49" t="n"/>
      <c r="C225" s="49" t="n"/>
      <c r="D225" s="26" t="n"/>
      <c r="E225" s="27" t="n"/>
      <c r="F225" s="27" t="n"/>
      <c r="G225" s="50" t="n"/>
      <c r="H225" s="29" t="n"/>
      <c r="I225" s="50" t="n"/>
      <c r="J225" s="52" t="n"/>
      <c r="K225" s="26" t="n"/>
    </row>
    <row r="226" ht="24.95" customHeight="1">
      <c r="A226" s="48" t="n"/>
      <c r="B226" s="49" t="n"/>
      <c r="C226" s="49" t="n"/>
      <c r="D226" s="26" t="n"/>
      <c r="E226" s="27" t="n"/>
      <c r="F226" s="27" t="n"/>
      <c r="G226" s="50" t="n"/>
      <c r="H226" s="29" t="n"/>
      <c r="I226" s="50" t="n"/>
      <c r="J226" s="52" t="n"/>
      <c r="K226" s="26" t="n"/>
    </row>
    <row r="227" ht="24.95" customHeight="1">
      <c r="A227" s="48" t="n"/>
      <c r="B227" s="49" t="n"/>
      <c r="C227" s="49" t="n"/>
      <c r="D227" s="26" t="n"/>
      <c r="E227" s="27" t="n"/>
      <c r="F227" s="27" t="n"/>
      <c r="G227" s="50" t="n"/>
      <c r="H227" s="29" t="n"/>
      <c r="I227" s="50" t="n"/>
      <c r="J227" s="52" t="n"/>
      <c r="K227" s="26" t="n"/>
    </row>
    <row r="228" ht="24.95" customHeight="1">
      <c r="A228" s="48" t="n"/>
      <c r="B228" s="49" t="n"/>
      <c r="C228" s="49" t="n"/>
      <c r="D228" s="26" t="n"/>
      <c r="E228" s="27" t="n"/>
      <c r="F228" s="27" t="n"/>
      <c r="G228" s="50" t="n"/>
      <c r="H228" s="29" t="n"/>
      <c r="I228" s="50" t="n"/>
      <c r="J228" s="52" t="n"/>
      <c r="K228" s="26" t="n"/>
    </row>
    <row r="229" ht="24.95" customHeight="1">
      <c r="A229" s="48" t="n"/>
      <c r="B229" s="49" t="n"/>
      <c r="C229" s="49" t="n"/>
      <c r="D229" s="26" t="n"/>
      <c r="E229" s="27" t="n"/>
      <c r="F229" s="27" t="n"/>
      <c r="G229" s="50" t="n"/>
      <c r="H229" s="29" t="n"/>
      <c r="I229" s="50" t="n"/>
      <c r="J229" s="52" t="n"/>
      <c r="K229" s="26" t="n"/>
    </row>
    <row r="230" ht="24.95" customHeight="1">
      <c r="A230" s="48" t="n"/>
      <c r="B230" s="49" t="n"/>
      <c r="C230" s="49" t="n"/>
      <c r="D230" s="26" t="n"/>
      <c r="E230" s="27" t="n"/>
      <c r="F230" s="27" t="n"/>
      <c r="G230" s="50" t="n"/>
      <c r="H230" s="29" t="n"/>
      <c r="I230" s="50" t="n"/>
      <c r="J230" s="52" t="n"/>
      <c r="K230" s="26" t="n"/>
    </row>
    <row r="231" ht="24.95" customHeight="1">
      <c r="A231" s="48" t="n"/>
      <c r="B231" s="49" t="n"/>
      <c r="C231" s="49" t="n"/>
      <c r="D231" s="26" t="n"/>
      <c r="E231" s="27" t="n"/>
      <c r="F231" s="27" t="n"/>
      <c r="G231" s="50" t="n"/>
      <c r="H231" s="29" t="n"/>
      <c r="I231" s="50" t="n"/>
      <c r="J231" s="52" t="n"/>
      <c r="K231" s="26" t="n"/>
    </row>
    <row r="232" ht="24.95" customHeight="1">
      <c r="A232" s="48" t="n"/>
      <c r="B232" s="49" t="n"/>
      <c r="C232" s="49" t="n"/>
      <c r="D232" s="26" t="n"/>
      <c r="E232" s="27" t="n"/>
      <c r="F232" s="27" t="n"/>
      <c r="G232" s="50" t="n"/>
      <c r="H232" s="29" t="n"/>
      <c r="I232" s="50" t="n"/>
      <c r="J232" s="52" t="n"/>
      <c r="K232" s="26" t="n"/>
    </row>
    <row r="233" ht="24.95" customHeight="1">
      <c r="A233" s="48" t="n"/>
      <c r="B233" s="49" t="n"/>
      <c r="C233" s="49" t="n"/>
      <c r="D233" s="26" t="n"/>
      <c r="E233" s="27" t="n"/>
      <c r="F233" s="27" t="n"/>
      <c r="G233" s="50" t="n"/>
      <c r="H233" s="29" t="n"/>
      <c r="I233" s="50" t="n"/>
      <c r="J233" s="52" t="n"/>
      <c r="K233" s="26" t="n"/>
    </row>
    <row r="234" ht="24.95" customHeight="1">
      <c r="A234" s="48" t="n"/>
      <c r="B234" s="49" t="n"/>
      <c r="C234" s="49" t="n"/>
      <c r="D234" s="26" t="n"/>
      <c r="E234" s="27" t="n"/>
      <c r="F234" s="27" t="n"/>
      <c r="G234" s="50" t="n"/>
      <c r="H234" s="29" t="n"/>
      <c r="I234" s="50" t="n"/>
      <c r="J234" s="52" t="n"/>
      <c r="K234" s="26" t="n"/>
    </row>
    <row r="235" ht="24.95" customHeight="1"/>
    <row r="236" ht="24.95" customHeight="1"/>
  </sheetData>
  <autoFilter ref="A4:K85"/>
  <mergeCells count="9">
    <mergeCell ref="A20:L20"/>
    <mergeCell ref="A53:L53"/>
    <mergeCell ref="A63:L63"/>
    <mergeCell ref="A1:L1"/>
    <mergeCell ref="A5:L5"/>
    <mergeCell ref="A37:L37"/>
    <mergeCell ref="A70:L70"/>
    <mergeCell ref="A79:L79"/>
    <mergeCell ref="A3:L3"/>
  </mergeCells>
  <conditionalFormatting sqref="D12">
    <cfRule type="cellIs" priority="56" operator="equal" dxfId="0" stopIfTrue="1">
      <formula>"其他"</formula>
    </cfRule>
    <cfRule type="cellIs" priority="55" operator="equal" dxfId="1" stopIfTrue="1">
      <formula>"购物"</formula>
    </cfRule>
    <cfRule type="cellIs" priority="54" operator="equal" dxfId="2" stopIfTrue="1">
      <formula>"日常"</formula>
    </cfRule>
    <cfRule type="cellIs" priority="53" operator="equal" dxfId="3" stopIfTrue="1">
      <formula>"餐饮"</formula>
    </cfRule>
    <cfRule type="cellIs" priority="52" operator="equal" dxfId="4" stopIfTrue="1">
      <formula>"游览"</formula>
    </cfRule>
    <cfRule type="cellIs" priority="51" operator="equal" dxfId="5" stopIfTrue="1">
      <formula>"住宿"</formula>
    </cfRule>
    <cfRule type="cellIs" priority="50" operator="equal" dxfId="6" stopIfTrue="1">
      <formula>"交通"</formula>
    </cfRule>
  </conditionalFormatting>
  <conditionalFormatting sqref="K12">
    <cfRule type="cellIs" priority="63" operator="equal" dxfId="2" stopIfTrue="1">
      <formula>"已取消"</formula>
    </cfRule>
    <cfRule type="cellIs" priority="62" operator="equal" dxfId="7" stopIfTrue="1">
      <formula>"无需预订"</formula>
    </cfRule>
    <cfRule type="cellIs" priority="61" operator="equal" dxfId="4" stopIfTrue="1">
      <formula>"已完成"</formula>
    </cfRule>
    <cfRule type="cellIs" priority="60" operator="equal" dxfId="4" stopIfTrue="1">
      <formula>"已预约"</formula>
    </cfRule>
    <cfRule type="cellIs" priority="59" operator="equal" dxfId="4" stopIfTrue="1">
      <formula>"已购买"</formula>
    </cfRule>
    <cfRule type="cellIs" priority="58" operator="equal" dxfId="8" stopIfTrue="1">
      <formula>"待预约"</formula>
    </cfRule>
    <cfRule type="cellIs" priority="57" operator="equal" dxfId="8" stopIfTrue="1">
      <formula>"待购买"</formula>
    </cfRule>
  </conditionalFormatting>
  <conditionalFormatting sqref="D29">
    <cfRule type="cellIs" priority="29" operator="equal" dxfId="6" stopIfTrue="1">
      <formula>"交通"</formula>
    </cfRule>
    <cfRule type="cellIs" priority="30" operator="equal" dxfId="5" stopIfTrue="1">
      <formula>"住宿"</formula>
    </cfRule>
    <cfRule type="cellIs" priority="31" operator="equal" dxfId="4" stopIfTrue="1">
      <formula>"游览"</formula>
    </cfRule>
    <cfRule type="cellIs" priority="32" operator="equal" dxfId="3" stopIfTrue="1">
      <formula>"餐饮"</formula>
    </cfRule>
    <cfRule type="cellIs" priority="33" operator="equal" dxfId="2" stopIfTrue="1">
      <formula>"日常"</formula>
    </cfRule>
    <cfRule type="cellIs" priority="34" operator="equal" dxfId="1" stopIfTrue="1">
      <formula>"购物"</formula>
    </cfRule>
    <cfRule type="cellIs" priority="35" operator="equal" dxfId="0" stopIfTrue="1">
      <formula>"其他"</formula>
    </cfRule>
  </conditionalFormatting>
  <conditionalFormatting sqref="D32">
    <cfRule type="cellIs" priority="43" operator="equal" dxfId="6" stopIfTrue="1">
      <formula>"交通"</formula>
    </cfRule>
    <cfRule type="cellIs" priority="44" operator="equal" dxfId="5" stopIfTrue="1">
      <formula>"住宿"</formula>
    </cfRule>
    <cfRule type="cellIs" priority="45" operator="equal" dxfId="4" stopIfTrue="1">
      <formula>"游览"</formula>
    </cfRule>
    <cfRule type="cellIs" priority="46" operator="equal" dxfId="3" stopIfTrue="1">
      <formula>"餐饮"</formula>
    </cfRule>
    <cfRule type="cellIs" priority="47" operator="equal" dxfId="2" stopIfTrue="1">
      <formula>"日常"</formula>
    </cfRule>
    <cfRule type="cellIs" priority="48" operator="equal" dxfId="1" stopIfTrue="1">
      <formula>"购物"</formula>
    </cfRule>
    <cfRule type="cellIs" priority="49" operator="equal" dxfId="0" stopIfTrue="1">
      <formula>"其他"</formula>
    </cfRule>
  </conditionalFormatting>
  <conditionalFormatting sqref="K32">
    <cfRule type="cellIs" priority="36" operator="equal" dxfId="8" stopIfTrue="1">
      <formula>"待购买"</formula>
    </cfRule>
    <cfRule type="cellIs" priority="37" operator="equal" dxfId="8" stopIfTrue="1">
      <formula>"待预约"</formula>
    </cfRule>
    <cfRule type="cellIs" priority="38" operator="equal" dxfId="4" stopIfTrue="1">
      <formula>"已购买"</formula>
    </cfRule>
    <cfRule type="cellIs" priority="39" operator="equal" dxfId="4" stopIfTrue="1">
      <formula>"已预约"</formula>
    </cfRule>
    <cfRule type="cellIs" priority="40" operator="equal" dxfId="4" stopIfTrue="1">
      <formula>"已完成"</formula>
    </cfRule>
    <cfRule type="cellIs" priority="41" operator="equal" dxfId="7" stopIfTrue="1">
      <formula>"无需预订"</formula>
    </cfRule>
    <cfRule type="cellIs" priority="42" operator="equal" dxfId="2" stopIfTrue="1">
      <formula>"已取消"</formula>
    </cfRule>
  </conditionalFormatting>
  <conditionalFormatting sqref="D38">
    <cfRule type="cellIs" priority="28" operator="equal" dxfId="0" stopIfTrue="1">
      <formula>"其他"</formula>
    </cfRule>
    <cfRule type="cellIs" priority="27" operator="equal" dxfId="1" stopIfTrue="1">
      <formula>"购物"</formula>
    </cfRule>
    <cfRule type="cellIs" priority="26" operator="equal" dxfId="2" stopIfTrue="1">
      <formula>"日常"</formula>
    </cfRule>
    <cfRule type="cellIs" priority="25" operator="equal" dxfId="3" stopIfTrue="1">
      <formula>"餐饮"</formula>
    </cfRule>
    <cfRule type="cellIs" priority="24" operator="equal" dxfId="4" stopIfTrue="1">
      <formula>"游览"</formula>
    </cfRule>
    <cfRule type="cellIs" priority="23" operator="equal" dxfId="5" stopIfTrue="1">
      <formula>"住宿"</formula>
    </cfRule>
    <cfRule type="cellIs" priority="22" operator="equal" dxfId="6" stopIfTrue="1">
      <formula>"交通"</formula>
    </cfRule>
  </conditionalFormatting>
  <conditionalFormatting sqref="D67">
    <cfRule type="cellIs" priority="7" operator="equal" dxfId="0" stopIfTrue="1">
      <formula>"其他"</formula>
    </cfRule>
    <cfRule type="cellIs" priority="6" operator="equal" dxfId="1" stopIfTrue="1">
      <formula>"购物"</formula>
    </cfRule>
    <cfRule type="cellIs" priority="5" operator="equal" dxfId="2" stopIfTrue="1">
      <formula>"日常"</formula>
    </cfRule>
    <cfRule type="cellIs" priority="4" operator="equal" dxfId="3" stopIfTrue="1">
      <formula>"餐饮"</formula>
    </cfRule>
    <cfRule type="cellIs" priority="3" operator="equal" dxfId="4" stopIfTrue="1">
      <formula>"游览"</formula>
    </cfRule>
    <cfRule type="cellIs" priority="2" operator="equal" dxfId="5" stopIfTrue="1">
      <formula>"住宿"</formula>
    </cfRule>
    <cfRule type="cellIs" priority="1" operator="equal" dxfId="6" stopIfTrue="1">
      <formula>"交通"</formula>
    </cfRule>
  </conditionalFormatting>
  <conditionalFormatting sqref="D39:D52">
    <cfRule type="cellIs" priority="708" operator="equal" dxfId="6" stopIfTrue="1">
      <formula>"交通"</formula>
    </cfRule>
    <cfRule type="cellIs" priority="716" operator="equal" dxfId="5" stopIfTrue="1">
      <formula>"住宿"</formula>
    </cfRule>
    <cfRule type="cellIs" priority="724" operator="equal" dxfId="4" stopIfTrue="1">
      <formula>"游览"</formula>
    </cfRule>
    <cfRule type="cellIs" priority="732" operator="equal" dxfId="3" stopIfTrue="1">
      <formula>"餐饮"</formula>
    </cfRule>
    <cfRule type="cellIs" priority="740" operator="equal" dxfId="2" stopIfTrue="1">
      <formula>"日常"</formula>
    </cfRule>
    <cfRule type="cellIs" priority="748" operator="equal" dxfId="1" stopIfTrue="1">
      <formula>"购物"</formula>
    </cfRule>
    <cfRule type="cellIs" priority="756" operator="equal" dxfId="0" stopIfTrue="1">
      <formula>"其他"</formula>
    </cfRule>
  </conditionalFormatting>
  <conditionalFormatting sqref="D54:D62">
    <cfRule type="cellIs" priority="624" operator="equal" dxfId="6" stopIfTrue="1">
      <formula>"交通"</formula>
    </cfRule>
    <cfRule type="cellIs" priority="630" operator="equal" dxfId="5" stopIfTrue="1">
      <formula>"住宿"</formula>
    </cfRule>
    <cfRule type="cellIs" priority="636" operator="equal" dxfId="4" stopIfTrue="1">
      <formula>"游览"</formula>
    </cfRule>
    <cfRule type="cellIs" priority="642" operator="equal" dxfId="3" stopIfTrue="1">
      <formula>"餐饮"</formula>
    </cfRule>
    <cfRule type="cellIs" priority="648" operator="equal" dxfId="2" stopIfTrue="1">
      <formula>"日常"</formula>
    </cfRule>
    <cfRule type="cellIs" priority="654" operator="equal" dxfId="1" stopIfTrue="1">
      <formula>"购物"</formula>
    </cfRule>
    <cfRule type="cellIs" priority="660" operator="equal" dxfId="0" stopIfTrue="1">
      <formula>"其他"</formula>
    </cfRule>
  </conditionalFormatting>
  <conditionalFormatting sqref="D71:D78">
    <cfRule type="cellIs" priority="400" operator="equal" dxfId="6" stopIfTrue="1">
      <formula>"交通"</formula>
    </cfRule>
    <cfRule type="cellIs" priority="410" operator="equal" dxfId="5" stopIfTrue="1">
      <formula>"住宿"</formula>
    </cfRule>
    <cfRule type="cellIs" priority="420" operator="equal" dxfId="4" stopIfTrue="1">
      <formula>"游览"</formula>
    </cfRule>
    <cfRule type="cellIs" priority="430" operator="equal" dxfId="3" stopIfTrue="1">
      <formula>"餐饮"</formula>
    </cfRule>
    <cfRule type="cellIs" priority="440" operator="equal" dxfId="2" stopIfTrue="1">
      <formula>"日常"</formula>
    </cfRule>
    <cfRule type="cellIs" priority="450" operator="equal" dxfId="1" stopIfTrue="1">
      <formula>"购物"</formula>
    </cfRule>
    <cfRule type="cellIs" priority="460" operator="equal" dxfId="0" stopIfTrue="1">
      <formula>"其他"</formula>
    </cfRule>
  </conditionalFormatting>
  <conditionalFormatting sqref="D80:D85">
    <cfRule type="cellIs" priority="316" operator="equal" dxfId="6" stopIfTrue="1">
      <formula>"交通"</formula>
    </cfRule>
    <cfRule type="cellIs" priority="322" operator="equal" dxfId="5" stopIfTrue="1">
      <formula>"住宿"</formula>
    </cfRule>
    <cfRule type="cellIs" priority="328" operator="equal" dxfId="4" stopIfTrue="1">
      <formula>"游览"</formula>
    </cfRule>
    <cfRule type="cellIs" priority="334" operator="equal" dxfId="3" stopIfTrue="1">
      <formula>"餐饮"</formula>
    </cfRule>
    <cfRule type="cellIs" priority="340" operator="equal" dxfId="2" stopIfTrue="1">
      <formula>"日常"</formula>
    </cfRule>
    <cfRule type="cellIs" priority="346" operator="equal" dxfId="1" stopIfTrue="1">
      <formula>"购物"</formula>
    </cfRule>
    <cfRule type="cellIs" priority="352" operator="equal" dxfId="0" stopIfTrue="1">
      <formula>"其他"</formula>
    </cfRule>
  </conditionalFormatting>
  <conditionalFormatting sqref="D86:D234">
    <cfRule type="cellIs" priority="974" operator="equal" dxfId="9">
      <formula>"交通"</formula>
    </cfRule>
    <cfRule type="cellIs" priority="975" operator="equal" dxfId="10">
      <formula>"住宿"</formula>
    </cfRule>
    <cfRule type="cellIs" priority="976" operator="equal" dxfId="11">
      <formula>"游览"</formula>
    </cfRule>
    <cfRule type="cellIs" priority="977" operator="equal" dxfId="12">
      <formula>"餐饮"</formula>
    </cfRule>
    <cfRule type="cellIs" priority="978" operator="equal" dxfId="13">
      <formula>"日常"</formula>
    </cfRule>
    <cfRule type="cellIs" priority="979" operator="equal" dxfId="14">
      <formula>"购物"</formula>
    </cfRule>
    <cfRule type="cellIs" priority="980" operator="equal" dxfId="15">
      <formula>"其他"</formula>
    </cfRule>
  </conditionalFormatting>
  <conditionalFormatting sqref="K39:K52">
    <cfRule type="cellIs" priority="764" operator="equal" dxfId="8" stopIfTrue="1">
      <formula>"待购买"</formula>
    </cfRule>
    <cfRule type="cellIs" priority="772" operator="equal" dxfId="8" stopIfTrue="1">
      <formula>"待预约"</formula>
    </cfRule>
    <cfRule type="cellIs" priority="780" operator="equal" dxfId="4" stopIfTrue="1">
      <formula>"已购买"</formula>
    </cfRule>
    <cfRule type="cellIs" priority="788" operator="equal" dxfId="4" stopIfTrue="1">
      <formula>"已预约"</formula>
    </cfRule>
    <cfRule type="cellIs" priority="796" operator="equal" dxfId="4" stopIfTrue="1">
      <formula>"已完成"</formula>
    </cfRule>
    <cfRule type="cellIs" priority="804" operator="equal" dxfId="7" stopIfTrue="1">
      <formula>"无需预订"</formula>
    </cfRule>
    <cfRule type="cellIs" priority="812" operator="equal" dxfId="2" stopIfTrue="1">
      <formula>"已取消"</formula>
    </cfRule>
  </conditionalFormatting>
  <conditionalFormatting sqref="K54:K62">
    <cfRule type="cellIs" priority="666" operator="equal" dxfId="8" stopIfTrue="1">
      <formula>"待购买"</formula>
    </cfRule>
    <cfRule type="cellIs" priority="672" operator="equal" dxfId="8" stopIfTrue="1">
      <formula>"待预约"</formula>
    </cfRule>
    <cfRule type="cellIs" priority="678" operator="equal" dxfId="4" stopIfTrue="1">
      <formula>"已购买"</formula>
    </cfRule>
    <cfRule type="cellIs" priority="684" operator="equal" dxfId="4" stopIfTrue="1">
      <formula>"已预约"</formula>
    </cfRule>
    <cfRule type="cellIs" priority="690" operator="equal" dxfId="4" stopIfTrue="1">
      <formula>"已完成"</formula>
    </cfRule>
    <cfRule type="cellIs" priority="696" operator="equal" dxfId="7" stopIfTrue="1">
      <formula>"无需预订"</formula>
    </cfRule>
    <cfRule type="cellIs" priority="702" operator="equal" dxfId="2" stopIfTrue="1">
      <formula>"已取消"</formula>
    </cfRule>
  </conditionalFormatting>
  <conditionalFormatting sqref="K64:K69">
    <cfRule type="cellIs" priority="582" operator="equal" dxfId="8" stopIfTrue="1">
      <formula>"待购买"</formula>
    </cfRule>
    <cfRule type="cellIs" priority="588" operator="equal" dxfId="8" stopIfTrue="1">
      <formula>"待预约"</formula>
    </cfRule>
    <cfRule type="cellIs" priority="594" operator="equal" dxfId="4" stopIfTrue="1">
      <formula>"已购买"</formula>
    </cfRule>
    <cfRule type="cellIs" priority="600" operator="equal" dxfId="4" stopIfTrue="1">
      <formula>"已预约"</formula>
    </cfRule>
    <cfRule type="cellIs" priority="606" operator="equal" dxfId="4" stopIfTrue="1">
      <formula>"已完成"</formula>
    </cfRule>
    <cfRule type="cellIs" priority="612" operator="equal" dxfId="7" stopIfTrue="1">
      <formula>"无需预订"</formula>
    </cfRule>
    <cfRule type="cellIs" priority="618" operator="equal" dxfId="2" stopIfTrue="1">
      <formula>"已取消"</formula>
    </cfRule>
  </conditionalFormatting>
  <conditionalFormatting sqref="K71:K78">
    <cfRule type="cellIs" priority="470" operator="equal" dxfId="8" stopIfTrue="1">
      <formula>"待购买"</formula>
    </cfRule>
    <cfRule type="cellIs" priority="480" operator="equal" dxfId="8" stopIfTrue="1">
      <formula>"待预约"</formula>
    </cfRule>
    <cfRule type="cellIs" priority="490" operator="equal" dxfId="4" stopIfTrue="1">
      <formula>"已购买"</formula>
    </cfRule>
    <cfRule type="cellIs" priority="500" operator="equal" dxfId="4" stopIfTrue="1">
      <formula>"已预约"</formula>
    </cfRule>
    <cfRule type="cellIs" priority="510" operator="equal" dxfId="4" stopIfTrue="1">
      <formula>"已完成"</formula>
    </cfRule>
    <cfRule type="cellIs" priority="520" operator="equal" dxfId="7" stopIfTrue="1">
      <formula>"无需预订"</formula>
    </cfRule>
    <cfRule type="cellIs" priority="530" operator="equal" dxfId="2" stopIfTrue="1">
      <formula>"已取消"</formula>
    </cfRule>
  </conditionalFormatting>
  <conditionalFormatting sqref="K80:K85">
    <cfRule type="cellIs" priority="358" operator="equal" dxfId="8" stopIfTrue="1">
      <formula>"待购买"</formula>
    </cfRule>
    <cfRule type="cellIs" priority="364" operator="equal" dxfId="8" stopIfTrue="1">
      <formula>"待预约"</formula>
    </cfRule>
    <cfRule type="cellIs" priority="370" operator="equal" dxfId="4" stopIfTrue="1">
      <formula>"已购买"</formula>
    </cfRule>
    <cfRule type="cellIs" priority="376" operator="equal" dxfId="4" stopIfTrue="1">
      <formula>"已预约"</formula>
    </cfRule>
    <cfRule type="cellIs" priority="382" operator="equal" dxfId="4" stopIfTrue="1">
      <formula>"已完成"</formula>
    </cfRule>
    <cfRule type="cellIs" priority="388" operator="equal" dxfId="7" stopIfTrue="1">
      <formula>"无需预订"</formula>
    </cfRule>
    <cfRule type="cellIs" priority="394" operator="equal" dxfId="2" stopIfTrue="1">
      <formula>"已取消"</formula>
    </cfRule>
  </conditionalFormatting>
  <conditionalFormatting sqref="K86:K234">
    <cfRule type="cellIs" priority="981" operator="equal" dxfId="16">
      <formula>"待购买"</formula>
    </cfRule>
    <cfRule type="cellIs" priority="982" operator="equal" dxfId="16">
      <formula>"待预约"</formula>
    </cfRule>
    <cfRule type="cellIs" priority="983" operator="equal" dxfId="17">
      <formula>"已购买"</formula>
    </cfRule>
    <cfRule type="cellIs" priority="984" operator="equal" dxfId="17">
      <formula>"已预约"</formula>
    </cfRule>
    <cfRule type="cellIs" priority="985" operator="equal" dxfId="17">
      <formula>"已完成"</formula>
    </cfRule>
    <cfRule type="cellIs" priority="986" operator="equal" dxfId="18">
      <formula>"无需预订"</formula>
    </cfRule>
    <cfRule type="cellIs" priority="987" operator="equal" dxfId="19">
      <formula>"已取消"</formula>
    </cfRule>
  </conditionalFormatting>
  <conditionalFormatting sqref="S88:S91">
    <cfRule type="cellIs" priority="260" operator="equal" dxfId="6" stopIfTrue="1">
      <formula>"交通"</formula>
    </cfRule>
    <cfRule type="cellIs" priority="264" operator="equal" dxfId="5" stopIfTrue="1">
      <formula>"住宿"</formula>
    </cfRule>
    <cfRule type="cellIs" priority="268" operator="equal" dxfId="4" stopIfTrue="1">
      <formula>"游览"</formula>
    </cfRule>
    <cfRule type="cellIs" priority="272" operator="equal" dxfId="3" stopIfTrue="1">
      <formula>"餐饮"</formula>
    </cfRule>
    <cfRule type="cellIs" priority="276" operator="equal" dxfId="2" stopIfTrue="1">
      <formula>"日常"</formula>
    </cfRule>
    <cfRule type="cellIs" priority="280" operator="equal" dxfId="1" stopIfTrue="1">
      <formula>"购物"</formula>
    </cfRule>
    <cfRule type="cellIs" priority="284" operator="equal" dxfId="0" stopIfTrue="1">
      <formula>"其他"</formula>
    </cfRule>
  </conditionalFormatting>
  <conditionalFormatting sqref="Z88:Z91">
    <cfRule type="cellIs" priority="288" operator="equal" dxfId="8" stopIfTrue="1">
      <formula>"待购买"</formula>
    </cfRule>
    <cfRule type="cellIs" priority="292" operator="equal" dxfId="8" stopIfTrue="1">
      <formula>"待预约"</formula>
    </cfRule>
    <cfRule type="cellIs" priority="296" operator="equal" dxfId="4" stopIfTrue="1">
      <formula>"已购买"</formula>
    </cfRule>
    <cfRule type="cellIs" priority="300" operator="equal" dxfId="4" stopIfTrue="1">
      <formula>"已预约"</formula>
    </cfRule>
    <cfRule type="cellIs" priority="304" operator="equal" dxfId="4" stopIfTrue="1">
      <formula>"已完成"</formula>
    </cfRule>
    <cfRule type="cellIs" priority="308" operator="equal" dxfId="7" stopIfTrue="1">
      <formula>"无需预订"</formula>
    </cfRule>
    <cfRule type="cellIs" priority="312" operator="equal" dxfId="2" stopIfTrue="1">
      <formula>"已取消"</formula>
    </cfRule>
  </conditionalFormatting>
  <conditionalFormatting sqref="D6:D11 D13:D19">
    <cfRule type="cellIs" priority="93" operator="equal" dxfId="6" stopIfTrue="1">
      <formula>"交通"</formula>
    </cfRule>
    <cfRule type="cellIs" priority="97" operator="equal" dxfId="5" stopIfTrue="1">
      <formula>"住宿"</formula>
    </cfRule>
    <cfRule type="cellIs" priority="101" operator="equal" dxfId="4" stopIfTrue="1">
      <formula>"游览"</formula>
    </cfRule>
    <cfRule type="cellIs" priority="105" operator="equal" dxfId="3" stopIfTrue="1">
      <formula>"餐饮"</formula>
    </cfRule>
    <cfRule type="cellIs" priority="109" operator="equal" dxfId="2" stopIfTrue="1">
      <formula>"日常"</formula>
    </cfRule>
    <cfRule type="cellIs" priority="113" operator="equal" dxfId="1" stopIfTrue="1">
      <formula>"购物"</formula>
    </cfRule>
    <cfRule type="cellIs" priority="117" operator="equal" dxfId="0" stopIfTrue="1">
      <formula>"其他"</formula>
    </cfRule>
  </conditionalFormatting>
  <conditionalFormatting sqref="K6:K11 K13:K19">
    <cfRule type="cellIs" priority="169" operator="equal" dxfId="8" stopIfTrue="1">
      <formula>"待购买"</formula>
    </cfRule>
    <cfRule type="cellIs" priority="170" operator="equal" dxfId="8" stopIfTrue="1">
      <formula>"待预约"</formula>
    </cfRule>
    <cfRule type="cellIs" priority="171" operator="equal" dxfId="4" stopIfTrue="1">
      <formula>"已购买"</formula>
    </cfRule>
    <cfRule type="cellIs" priority="172" operator="equal" dxfId="4" stopIfTrue="1">
      <formula>"已预约"</formula>
    </cfRule>
    <cfRule type="cellIs" priority="173" operator="equal" dxfId="4" stopIfTrue="1">
      <formula>"已完成"</formula>
    </cfRule>
    <cfRule type="cellIs" priority="174" operator="equal" dxfId="7" stopIfTrue="1">
      <formula>"无需预订"</formula>
    </cfRule>
    <cfRule type="cellIs" priority="175" operator="equal" dxfId="2" stopIfTrue="1">
      <formula>"已取消"</formula>
    </cfRule>
  </conditionalFormatting>
  <conditionalFormatting sqref="D21:D28 D30:D31 D33:D36">
    <cfRule type="cellIs" priority="71" operator="equal" dxfId="6" stopIfTrue="1">
      <formula>"交通"</formula>
    </cfRule>
    <cfRule type="cellIs" priority="72" operator="equal" dxfId="5" stopIfTrue="1">
      <formula>"住宿"</formula>
    </cfRule>
    <cfRule type="cellIs" priority="73" operator="equal" dxfId="4" stopIfTrue="1">
      <formula>"游览"</formula>
    </cfRule>
    <cfRule type="cellIs" priority="74" operator="equal" dxfId="3" stopIfTrue="1">
      <formula>"餐饮"</formula>
    </cfRule>
    <cfRule type="cellIs" priority="75" operator="equal" dxfId="2" stopIfTrue="1">
      <formula>"日常"</formula>
    </cfRule>
    <cfRule type="cellIs" priority="76" operator="equal" dxfId="1" stopIfTrue="1">
      <formula>"购物"</formula>
    </cfRule>
    <cfRule type="cellIs" priority="77" operator="equal" dxfId="0" stopIfTrue="1">
      <formula>"其他"</formula>
    </cfRule>
  </conditionalFormatting>
  <conditionalFormatting sqref="K21:K31 K33:K36">
    <cfRule type="cellIs" priority="64" operator="equal" dxfId="8" stopIfTrue="1">
      <formula>"待购买"</formula>
    </cfRule>
    <cfRule type="cellIs" priority="65" operator="equal" dxfId="8" stopIfTrue="1">
      <formula>"待预约"</formula>
    </cfRule>
    <cfRule type="cellIs" priority="66" operator="equal" dxfId="4" stopIfTrue="1">
      <formula>"已购买"</formula>
    </cfRule>
    <cfRule type="cellIs" priority="67" operator="equal" dxfId="4" stopIfTrue="1">
      <formula>"已预约"</formula>
    </cfRule>
    <cfRule type="cellIs" priority="68" operator="equal" dxfId="4" stopIfTrue="1">
      <formula>"已完成"</formula>
    </cfRule>
    <cfRule type="cellIs" priority="69" operator="equal" dxfId="7" stopIfTrue="1">
      <formula>"无需预订"</formula>
    </cfRule>
    <cfRule type="cellIs" priority="70" operator="equal" dxfId="2" stopIfTrue="1">
      <formula>"已取消"</formula>
    </cfRule>
  </conditionalFormatting>
  <conditionalFormatting sqref="K38 K40 K42 K44">
    <cfRule type="cellIs" priority="21" operator="equal" dxfId="2" stopIfTrue="1">
      <formula>"已取消"</formula>
    </cfRule>
    <cfRule type="cellIs" priority="20" operator="equal" dxfId="7" stopIfTrue="1">
      <formula>"无需预订"</formula>
    </cfRule>
    <cfRule type="cellIs" priority="19" operator="equal" dxfId="4" stopIfTrue="1">
      <formula>"已完成"</formula>
    </cfRule>
    <cfRule type="cellIs" priority="18" operator="equal" dxfId="4" stopIfTrue="1">
      <formula>"已预约"</formula>
    </cfRule>
    <cfRule type="cellIs" priority="17" operator="equal" dxfId="4" stopIfTrue="1">
      <formula>"已购买"</formula>
    </cfRule>
    <cfRule type="cellIs" priority="16" operator="equal" dxfId="8" stopIfTrue="1">
      <formula>"待预约"</formula>
    </cfRule>
    <cfRule type="cellIs" priority="15" operator="equal" dxfId="8" stopIfTrue="1">
      <formula>"待购买"</formula>
    </cfRule>
  </conditionalFormatting>
  <conditionalFormatting sqref="D64:D66 D68:D69">
    <cfRule type="cellIs" priority="540" operator="equal" dxfId="6" stopIfTrue="1">
      <formula>"交通"</formula>
    </cfRule>
    <cfRule type="cellIs" priority="546" operator="equal" dxfId="5" stopIfTrue="1">
      <formula>"住宿"</formula>
    </cfRule>
    <cfRule type="cellIs" priority="552" operator="equal" dxfId="4" stopIfTrue="1">
      <formula>"游览"</formula>
    </cfRule>
    <cfRule type="cellIs" priority="558" operator="equal" dxfId="3" stopIfTrue="1">
      <formula>"餐饮"</formula>
    </cfRule>
    <cfRule type="cellIs" priority="564" operator="equal" dxfId="2" stopIfTrue="1">
      <formula>"日常"</formula>
    </cfRule>
    <cfRule type="cellIs" priority="570" operator="equal" dxfId="1" stopIfTrue="1">
      <formula>"购物"</formula>
    </cfRule>
    <cfRule type="cellIs" priority="576" operator="equal" dxfId="0" stopIfTrue="1">
      <formula>"其他"</formula>
    </cfRule>
  </conditionalFormatting>
  <dataValidations count="3">
    <dataValidation sqref="B6 B7:C11 B12:C12 B13:C13 B14 B21:C23 B24:C24 B25:C25 B26:C27 B28:C28 B29:C29 B30:C31 B32:C32 B33:C37 B38:C38 B39:C39 B40:C40 B41:C41 B42:C42 B43:C44 B45:C45 B46:C48 B49:C51 B52:C58 B59:C61 B62:C66 B67:C67 B68:C71 B72:C85 C6 C14" showDropDown="0" showInputMessage="1" showErrorMessage="0" allowBlank="1" prompt="可从列表选择 10 分钟间隔时间，也可直接输入精确时间。" type="list">
      <formula1>验证!$A$1:$A$108</formula1>
    </dataValidation>
    <dataValidation sqref="D5:D11 D12 D13:D16 D17:D18 D19:D23 D24 D25 D26:D27 D28 D29 D30:D31 D32 D33:D37 D38 D39 D40 D41 D42 D43:D44 D45 D46:D48 D49:D51 D52:D58 D59:D61 D62:D66 D67 D68:D71 D72:D85" showDropDown="0" showInputMessage="0" showErrorMessage="0" allowBlank="1" type="list">
      <formula1>"交通,住宿,游览,餐饮,日常,购物,其他"</formula1>
    </dataValidation>
    <dataValidation sqref="K5:K11 K12 K13:K14 K15:K18 K19:K20 K21:K24 K25 K26 K27 K28:K31 K32 K33:K37 K38:K45 K46:K48 K49:K51 K52:K55 K56:K61 K62:K66 K67:K69 K70:K71 K72:K85" showDropDown="0" showInputMessage="0" showErrorMessage="0" allowBlank="1" type="list">
      <formula1>"无需预订,待购买,待预约,已购买,已预约,已完成,已取消"</formula1>
    </dataValidation>
  </dataValidations>
  <pageMargins left="0.75" right="0.75" top="1" bottom="1" header="0.5" footer="0.5"/>
  <pageSetup orientation="landscape" paperSize="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L11" sqref="L11"/>
    </sheetView>
  </sheetViews>
  <sheetFormatPr baseColWidth="8" defaultColWidth="9" defaultRowHeight="14.25"/>
  <cols>
    <col width="6.5" customWidth="1" min="1" max="1"/>
    <col width="8" customWidth="1" min="2" max="3"/>
    <col width="16.75" customWidth="1" min="4" max="4"/>
    <col width="24.125" customWidth="1" min="5" max="5"/>
    <col width="8.875" customWidth="1" min="6" max="6"/>
    <col width="4.75" customWidth="1" min="7" max="7"/>
    <col width="8.875" customWidth="1" min="8" max="8"/>
    <col width="12.625" customWidth="1" min="9" max="9"/>
    <col width="4.75" customWidth="1" min="10" max="10"/>
    <col width="6.375" customWidth="1" min="11" max="11"/>
    <col width="13.75" customWidth="1" min="12" max="12"/>
  </cols>
  <sheetData>
    <row r="1" ht="18.75" customHeight="1">
      <c r="A1" s="3" t="inlineStr">
        <is>
          <t>日期</t>
        </is>
      </c>
      <c r="B1" s="54" t="inlineStr">
        <is>
          <t>开始时间</t>
        </is>
      </c>
      <c r="C1" s="2" t="inlineStr">
        <is>
          <t>结束时间</t>
        </is>
      </c>
      <c r="D1" s="3" t="inlineStr">
        <is>
          <t>项目</t>
        </is>
      </c>
      <c r="E1" s="3" t="inlineStr">
        <is>
          <t>备注</t>
        </is>
      </c>
      <c r="F1" s="3" t="inlineStr">
        <is>
          <t>单价</t>
        </is>
      </c>
      <c r="G1" s="3" t="inlineStr">
        <is>
          <t>数量</t>
        </is>
      </c>
      <c r="H1" s="3" t="inlineStr">
        <is>
          <t>消费</t>
        </is>
      </c>
      <c r="I1" s="3" t="inlineStr">
        <is>
          <t>抢票时间</t>
        </is>
      </c>
      <c r="J1" s="3" t="inlineStr">
        <is>
          <t>购买</t>
        </is>
      </c>
      <c r="K1" s="3" t="inlineStr">
        <is>
          <t>总消费</t>
        </is>
      </c>
      <c r="L1" s="55" t="n">
        <v>6564.21</v>
      </c>
    </row>
    <row r="2" ht="18" customHeight="1">
      <c r="A2" s="6" t="inlineStr">
        <is>
          <t>4月2日周四   苏州-上海-成都</t>
        </is>
      </c>
      <c r="K2" s="12" t="n"/>
      <c r="L2" s="12" t="n"/>
    </row>
    <row r="3">
      <c r="A3" s="56" t="n">
        <v>46114</v>
      </c>
      <c r="B3" s="57" t="n">
        <v>0.7708333333333334</v>
      </c>
      <c r="C3" s="57" t="n">
        <v>0.7916666666666666</v>
      </c>
      <c r="D3" s="7" t="inlineStr">
        <is>
          <t>打车</t>
        </is>
      </c>
      <c r="E3" s="7" t="inlineStr">
        <is>
          <t>家-苏州北</t>
        </is>
      </c>
      <c r="F3" s="58" t="n"/>
      <c r="G3" s="7" t="n">
        <v>1</v>
      </c>
      <c r="H3" s="58" t="n"/>
      <c r="I3" s="59" t="n"/>
      <c r="J3" s="7" t="inlineStr">
        <is>
          <t>☐</t>
        </is>
      </c>
      <c r="K3" s="12" t="n"/>
      <c r="L3" s="12" t="n"/>
    </row>
    <row r="4">
      <c r="A4" s="56" t="n">
        <v>46114</v>
      </c>
      <c r="B4" s="57" t="n">
        <v>0.8111111111111111</v>
      </c>
      <c r="C4" s="57" t="n">
        <v>0.8263888888888888</v>
      </c>
      <c r="D4" s="7" t="inlineStr">
        <is>
          <t>高铁</t>
        </is>
      </c>
      <c r="E4" s="7" t="inlineStr">
        <is>
          <t>G739 苏州北-上海虹桥</t>
        </is>
      </c>
      <c r="F4" s="58" t="n">
        <v>45</v>
      </c>
      <c r="G4" s="7" t="n">
        <v>2</v>
      </c>
      <c r="H4" s="58" t="n">
        <v>90</v>
      </c>
      <c r="I4" s="59" t="n">
        <v>46100</v>
      </c>
      <c r="J4" s="7" t="inlineStr">
        <is>
          <t>☑</t>
        </is>
      </c>
      <c r="K4" s="12" t="n"/>
      <c r="L4" s="12" t="n"/>
    </row>
    <row r="5">
      <c r="A5" s="56" t="n">
        <v>46114</v>
      </c>
      <c r="B5" s="57" t="n">
        <v>0.875</v>
      </c>
      <c r="C5" s="57" t="n">
        <v>0.9965277777777778</v>
      </c>
      <c r="D5" s="7" t="inlineStr">
        <is>
          <t>飞机</t>
        </is>
      </c>
      <c r="E5" s="7" t="inlineStr">
        <is>
          <t>MU5447 虹桥-双流</t>
        </is>
      </c>
      <c r="F5" s="58" t="n">
        <v>610.95</v>
      </c>
      <c r="G5" s="7" t="n">
        <v>2</v>
      </c>
      <c r="H5" s="58" t="n">
        <v>1221.9</v>
      </c>
      <c r="I5" s="59" t="n"/>
      <c r="J5" s="7" t="inlineStr">
        <is>
          <t>☑</t>
        </is>
      </c>
      <c r="K5" s="12" t="n"/>
      <c r="L5" s="12" t="n"/>
    </row>
    <row r="6">
      <c r="A6" s="56" t="n">
        <v>46114</v>
      </c>
      <c r="B6" s="57" t="n"/>
      <c r="C6" s="57" t="n"/>
      <c r="D6" s="7" t="n"/>
      <c r="E6" s="7" t="n"/>
      <c r="F6" s="58" t="n"/>
      <c r="G6" s="7" t="n"/>
      <c r="H6" s="58" t="n">
        <v>0</v>
      </c>
      <c r="I6" s="59" t="n"/>
      <c r="J6" s="7" t="inlineStr">
        <is>
          <t>☐</t>
        </is>
      </c>
      <c r="K6" s="12" t="n"/>
      <c r="L6" s="12" t="n"/>
    </row>
    <row r="7">
      <c r="A7" s="56" t="n">
        <v>46114</v>
      </c>
      <c r="B7" s="57" t="n"/>
      <c r="C7" s="57" t="n"/>
      <c r="D7" s="7" t="inlineStr">
        <is>
          <t>入住</t>
        </is>
      </c>
      <c r="E7" s="7" t="inlineStr">
        <is>
          <t>汉庭春熙路步行街酒店</t>
        </is>
      </c>
      <c r="F7" s="58" t="n">
        <v>272.91</v>
      </c>
      <c r="G7" s="7" t="n">
        <v>1</v>
      </c>
      <c r="H7" s="58" t="n">
        <v>272.91</v>
      </c>
      <c r="I7" s="59" t="n"/>
      <c r="J7" s="7" t="inlineStr">
        <is>
          <t>☑</t>
        </is>
      </c>
      <c r="K7" s="12" t="n"/>
      <c r="L7" s="12" t="n"/>
    </row>
    <row r="8" ht="18" customHeight="1">
      <c r="A8" s="6" t="inlineStr">
        <is>
          <t>4月3日周五   成都</t>
        </is>
      </c>
      <c r="K8" s="12" t="n"/>
      <c r="L8" s="12" t="n"/>
    </row>
    <row r="9">
      <c r="A9" s="56" t="n">
        <v>46115</v>
      </c>
      <c r="B9" s="57" t="n">
        <v>0.2916666666666667</v>
      </c>
      <c r="C9" s="57" t="n"/>
      <c r="D9" s="7" t="inlineStr">
        <is>
          <t>起床</t>
        </is>
      </c>
      <c r="E9" s="7" t="n"/>
      <c r="F9" s="58" t="n"/>
      <c r="G9" s="7" t="n"/>
      <c r="H9" s="58" t="n"/>
      <c r="I9" s="59" t="n"/>
      <c r="J9" s="7" t="inlineStr">
        <is>
          <t>☐</t>
        </is>
      </c>
      <c r="K9" s="12" t="n"/>
      <c r="L9" s="12" t="n"/>
    </row>
    <row r="10">
      <c r="A10" s="56" t="n">
        <v>46115</v>
      </c>
      <c r="B10" s="57" t="n">
        <v>0.3333333333333333</v>
      </c>
      <c r="C10" s="57" t="n">
        <v>0.3541666666666667</v>
      </c>
      <c r="D10" s="7" t="inlineStr">
        <is>
          <t>打车</t>
        </is>
      </c>
      <c r="E10" s="7" t="n"/>
      <c r="F10" s="58" t="n"/>
      <c r="G10" s="7" t="n"/>
      <c r="H10" s="58" t="n"/>
      <c r="I10" s="59" t="n"/>
      <c r="J10" s="7" t="inlineStr">
        <is>
          <t>☐</t>
        </is>
      </c>
      <c r="K10" s="12" t="n"/>
      <c r="L10" s="12" t="n"/>
    </row>
    <row r="11">
      <c r="A11" s="56" t="n">
        <v>46115</v>
      </c>
      <c r="B11" s="57" t="n">
        <v>0.3541666666666667</v>
      </c>
      <c r="C11" s="57" t="n">
        <v>0.5625</v>
      </c>
      <c r="D11" s="7" t="inlineStr">
        <is>
          <t>成都大熊猫繁育基地</t>
        </is>
      </c>
      <c r="E11" s="7" t="inlineStr">
        <is>
          <t>南门自定义路线</t>
        </is>
      </c>
      <c r="F11" s="58" t="n">
        <v>55</v>
      </c>
      <c r="G11" s="7" t="n">
        <v>2</v>
      </c>
      <c r="H11" s="58" t="n">
        <v>110</v>
      </c>
      <c r="I11" s="59" t="n"/>
      <c r="J11" s="7" t="inlineStr">
        <is>
          <t>☑</t>
        </is>
      </c>
      <c r="K11" s="12" t="n"/>
      <c r="L11" s="12" t="n"/>
    </row>
    <row r="12">
      <c r="A12" s="56" t="n"/>
      <c r="B12" s="57" t="n"/>
      <c r="C12" s="57" t="n"/>
      <c r="D12" s="7" t="inlineStr">
        <is>
          <t>观光车</t>
        </is>
      </c>
      <c r="E12" s="7" t="n"/>
      <c r="F12" s="58" t="n"/>
      <c r="G12" s="7" t="n"/>
      <c r="H12" s="58" t="n"/>
      <c r="I12" s="59" t="n"/>
      <c r="J12" s="7" t="inlineStr">
        <is>
          <t>☐</t>
        </is>
      </c>
      <c r="K12" s="12" t="n"/>
      <c r="L12" s="12" t="n"/>
    </row>
    <row r="13">
      <c r="A13" s="56" t="n">
        <v>46115</v>
      </c>
      <c r="B13" s="57" t="n"/>
      <c r="C13" s="57" t="n"/>
      <c r="D13" s="7" t="inlineStr">
        <is>
          <t>午饭</t>
        </is>
      </c>
      <c r="E13" s="7" t="n"/>
      <c r="F13" s="58" t="n"/>
      <c r="G13" s="7" t="n"/>
      <c r="H13" s="58" t="n"/>
      <c r="I13" s="59" t="n"/>
      <c r="J13" s="7" t="inlineStr">
        <is>
          <t>☐</t>
        </is>
      </c>
      <c r="K13" s="12" t="n"/>
      <c r="L13" s="12" t="n"/>
    </row>
    <row r="14">
      <c r="A14" s="56" t="n">
        <v>46115</v>
      </c>
      <c r="B14" s="57" t="n">
        <v>0.6041666666666666</v>
      </c>
      <c r="C14" s="57" t="n"/>
      <c r="D14" s="7" t="inlineStr">
        <is>
          <t>入住</t>
        </is>
      </c>
      <c r="E14" s="7" t="inlineStr">
        <is>
          <t>成都富力丽思卡尔顿酒店</t>
        </is>
      </c>
      <c r="F14" s="58" t="n">
        <v>862</v>
      </c>
      <c r="G14" s="7" t="n">
        <v>1</v>
      </c>
      <c r="H14" s="58" t="n">
        <v>862</v>
      </c>
      <c r="I14" s="59" t="n"/>
      <c r="J14" s="7" t="inlineStr">
        <is>
          <t>☑</t>
        </is>
      </c>
      <c r="K14" s="12" t="n"/>
      <c r="L14" s="12" t="n"/>
    </row>
    <row r="15">
      <c r="A15" s="56" t="n">
        <v>46115</v>
      </c>
      <c r="B15" s="57" t="n">
        <v>0.625</v>
      </c>
      <c r="C15" s="57" t="n">
        <v>0.7083333333333334</v>
      </c>
      <c r="D15" s="7" t="inlineStr">
        <is>
          <t>成都博物馆</t>
        </is>
      </c>
      <c r="E15" s="7" t="inlineStr">
        <is>
          <t>9:00 - 20:30，20:00停止入园</t>
        </is>
      </c>
      <c r="F15" s="58" t="n"/>
      <c r="G15" s="7" t="n"/>
      <c r="H15" s="58" t="n"/>
      <c r="I15" s="59" t="n">
        <v>46115.58333333334</v>
      </c>
      <c r="J15" s="7" t="inlineStr">
        <is>
          <t>☐</t>
        </is>
      </c>
      <c r="K15" s="12" t="n"/>
      <c r="L15" s="12" t="n"/>
    </row>
    <row r="16">
      <c r="A16" s="56" t="n">
        <v>46115</v>
      </c>
      <c r="B16" s="57" t="n">
        <v>0.7291666666666666</v>
      </c>
      <c r="C16" s="57" t="n"/>
      <c r="D16" s="7" t="inlineStr">
        <is>
          <t>太古里</t>
        </is>
      </c>
      <c r="E16" s="7" t="n"/>
      <c r="F16" s="58" t="n"/>
      <c r="G16" s="7" t="n"/>
      <c r="H16" s="58" t="n"/>
      <c r="I16" s="59" t="n"/>
      <c r="J16" s="7" t="inlineStr">
        <is>
          <t>☐</t>
        </is>
      </c>
      <c r="K16" s="12" t="n"/>
      <c r="L16" s="12" t="n"/>
    </row>
    <row r="17">
      <c r="A17" s="56" t="n">
        <v>46115</v>
      </c>
      <c r="B17" s="57" t="n"/>
      <c r="C17" s="57" t="n"/>
      <c r="D17" s="7" t="inlineStr">
        <is>
          <t>晚饭</t>
        </is>
      </c>
      <c r="E17" s="7" t="n"/>
      <c r="F17" s="58" t="n"/>
      <c r="G17" s="7" t="n"/>
      <c r="H17" s="58" t="n"/>
      <c r="I17" s="59" t="n"/>
      <c r="J17" s="7" t="inlineStr">
        <is>
          <t>☐</t>
        </is>
      </c>
      <c r="K17" s="12" t="n"/>
      <c r="L17" s="12" t="n"/>
    </row>
    <row r="18">
      <c r="A18" s="56" t="n">
        <v>46115</v>
      </c>
      <c r="B18" s="57" t="n"/>
      <c r="C18" s="57" t="n"/>
      <c r="D18" s="7" t="inlineStr">
        <is>
          <t>IFS</t>
        </is>
      </c>
      <c r="E18" s="7" t="n"/>
      <c r="F18" s="58" t="n"/>
      <c r="G18" s="7" t="n"/>
      <c r="H18" s="58" t="n"/>
      <c r="I18" s="59" t="n"/>
      <c r="J18" s="7" t="inlineStr">
        <is>
          <t>☐</t>
        </is>
      </c>
      <c r="K18" s="12" t="n"/>
      <c r="L18" s="12" t="n"/>
    </row>
    <row r="19">
      <c r="A19" s="56" t="n">
        <v>46115</v>
      </c>
      <c r="B19" s="57" t="n"/>
      <c r="C19" s="57" t="n"/>
      <c r="D19" s="7" t="inlineStr">
        <is>
          <t>酒店</t>
        </is>
      </c>
      <c r="E19" s="7" t="n"/>
      <c r="F19" s="58" t="n"/>
      <c r="G19" s="7" t="n"/>
      <c r="H19" s="58" t="n"/>
      <c r="I19" s="59" t="n"/>
      <c r="J19" s="7" t="inlineStr">
        <is>
          <t>☐</t>
        </is>
      </c>
      <c r="K19" s="12" t="n"/>
      <c r="L19" s="12" t="n"/>
    </row>
    <row r="20" ht="18" customHeight="1">
      <c r="A20" s="6" t="inlineStr">
        <is>
          <t>4月4日周六   成都-重庆</t>
        </is>
      </c>
      <c r="K20" s="12" t="n"/>
      <c r="L20" s="12" t="n"/>
    </row>
    <row r="21">
      <c r="A21" s="56" t="n">
        <v>46116</v>
      </c>
      <c r="B21" s="57" t="n">
        <v>0.3125</v>
      </c>
      <c r="C21" s="57" t="n">
        <v>0.3333333333333333</v>
      </c>
      <c r="D21" s="7" t="inlineStr">
        <is>
          <t>起床</t>
        </is>
      </c>
      <c r="E21" s="7" t="n"/>
      <c r="F21" s="58" t="n"/>
      <c r="G21" s="7" t="n"/>
      <c r="H21" s="58" t="n"/>
      <c r="I21" s="59" t="n"/>
      <c r="J21" s="7" t="inlineStr">
        <is>
          <t>☐</t>
        </is>
      </c>
      <c r="K21" s="12" t="n"/>
      <c r="L21" s="12" t="n"/>
    </row>
    <row r="22">
      <c r="A22" s="56" t="n">
        <v>46116</v>
      </c>
      <c r="B22" s="57" t="n">
        <v>0.3333333333333333</v>
      </c>
      <c r="C22" s="57" t="n">
        <v>0.3541666666666667</v>
      </c>
      <c r="D22" s="7" t="inlineStr">
        <is>
          <t>早餐</t>
        </is>
      </c>
      <c r="E22" s="7" t="inlineStr">
        <is>
          <t>豪华自助</t>
        </is>
      </c>
      <c r="F22" s="58" t="n"/>
      <c r="G22" s="7" t="n"/>
      <c r="H22" s="58" t="n"/>
      <c r="I22" s="59" t="n"/>
      <c r="J22" s="7" t="inlineStr">
        <is>
          <t>☑</t>
        </is>
      </c>
      <c r="K22" s="12" t="n"/>
      <c r="L22" s="12" t="n"/>
    </row>
    <row r="23">
      <c r="A23" s="56" t="n">
        <v>46116</v>
      </c>
      <c r="B23" s="57" t="n"/>
      <c r="C23" s="57" t="n"/>
      <c r="D23" s="7" t="inlineStr">
        <is>
          <t>公交车</t>
        </is>
      </c>
      <c r="E23" s="7" t="inlineStr">
        <is>
          <t>55路</t>
        </is>
      </c>
      <c r="F23" s="58" t="n"/>
      <c r="G23" s="7" t="n"/>
      <c r="H23" s="58" t="n"/>
      <c r="I23" s="59" t="n"/>
      <c r="J23" s="7" t="inlineStr">
        <is>
          <t>☐</t>
        </is>
      </c>
      <c r="K23" s="12" t="n"/>
      <c r="L23" s="12" t="n"/>
    </row>
    <row r="24">
      <c r="A24" s="56" t="n">
        <v>46116</v>
      </c>
      <c r="B24" s="57" t="n"/>
      <c r="C24" s="57" t="n"/>
      <c r="D24" s="7" t="inlineStr">
        <is>
          <t>武侯祠</t>
        </is>
      </c>
      <c r="E24" s="7" t="inlineStr">
        <is>
          <t>9:00 - 18:00，17:00 停止入园</t>
        </is>
      </c>
      <c r="F24" s="58" t="n"/>
      <c r="G24" s="7" t="n"/>
      <c r="H24" s="58" t="n"/>
      <c r="I24" s="59" t="n"/>
      <c r="J24" s="7" t="inlineStr">
        <is>
          <t>☐</t>
        </is>
      </c>
      <c r="K24" s="12" t="n"/>
      <c r="L24" s="12" t="n"/>
    </row>
    <row r="25">
      <c r="A25" s="56" t="n">
        <v>46116</v>
      </c>
      <c r="B25" s="57" t="n"/>
      <c r="C25" s="57" t="n"/>
      <c r="D25" s="7" t="inlineStr">
        <is>
          <t>杜甫草堂</t>
        </is>
      </c>
      <c r="E25" s="7" t="inlineStr">
        <is>
          <t>9:00 - 18:00，17:30 停止入园</t>
        </is>
      </c>
      <c r="F25" s="58" t="n"/>
      <c r="G25" s="7" t="n"/>
      <c r="H25" s="58" t="n"/>
      <c r="I25" s="59" t="n"/>
      <c r="J25" s="7" t="inlineStr">
        <is>
          <t>☐</t>
        </is>
      </c>
      <c r="K25" s="12" t="n"/>
      <c r="L25" s="12" t="n"/>
    </row>
    <row r="26">
      <c r="A26" s="56" t="n">
        <v>46116</v>
      </c>
      <c r="B26" s="57" t="n"/>
      <c r="C26" s="57" t="n"/>
      <c r="D26" s="7" t="inlineStr">
        <is>
          <t>宽窄巷子</t>
        </is>
      </c>
      <c r="E26" s="7" t="n"/>
      <c r="F26" s="58" t="n"/>
      <c r="G26" s="7" t="n"/>
      <c r="H26" s="58" t="n"/>
      <c r="I26" s="59" t="n"/>
      <c r="J26" s="7" t="inlineStr">
        <is>
          <t>☐</t>
        </is>
      </c>
      <c r="K26" s="12" t="n"/>
      <c r="L26" s="12" t="n"/>
    </row>
    <row r="27">
      <c r="A27" s="56" t="n">
        <v>46116</v>
      </c>
      <c r="B27" s="57" t="n"/>
      <c r="C27" s="57" t="n"/>
      <c r="D27" s="7" t="inlineStr">
        <is>
          <t>午餐</t>
        </is>
      </c>
      <c r="E27" s="7" t="n"/>
      <c r="F27" s="58" t="n"/>
      <c r="G27" s="7" t="n"/>
      <c r="H27" s="58" t="n"/>
      <c r="I27" s="59" t="n"/>
      <c r="J27" s="7" t="inlineStr">
        <is>
          <t>☐</t>
        </is>
      </c>
      <c r="K27" s="12" t="n"/>
      <c r="L27" s="12" t="n"/>
    </row>
    <row r="28">
      <c r="A28" s="56" t="n">
        <v>46116</v>
      </c>
      <c r="B28" s="57" t="n"/>
      <c r="C28" s="57" t="n"/>
      <c r="D28" s="7" t="inlineStr">
        <is>
          <t>文殊院</t>
        </is>
      </c>
      <c r="E28" s="7" t="inlineStr">
        <is>
          <t>9:00 - 17:00，16:30 停止入园</t>
        </is>
      </c>
      <c r="F28" s="58" t="n"/>
      <c r="G28" s="7" t="n"/>
      <c r="H28" s="58" t="n"/>
      <c r="I28" s="59" t="n"/>
      <c r="J28" s="7" t="inlineStr">
        <is>
          <t>☐</t>
        </is>
      </c>
      <c r="K28" s="12" t="n"/>
      <c r="L28" s="12" t="n"/>
    </row>
    <row r="29">
      <c r="A29" s="56" t="n">
        <v>46116</v>
      </c>
      <c r="B29" s="57" t="n"/>
      <c r="C29" s="57" t="n"/>
      <c r="D29" s="7" t="n"/>
      <c r="E29" s="7" t="n"/>
      <c r="F29" s="58" t="n"/>
      <c r="G29" s="7" t="n"/>
      <c r="H29" s="58" t="n"/>
      <c r="I29" s="59" t="n"/>
      <c r="J29" s="7" t="inlineStr">
        <is>
          <t>☐</t>
        </is>
      </c>
      <c r="K29" s="12" t="n"/>
      <c r="L29" s="12" t="n"/>
    </row>
    <row r="30">
      <c r="A30" s="56" t="n">
        <v>46116</v>
      </c>
      <c r="B30" s="57" t="n"/>
      <c r="C30" s="57" t="n"/>
      <c r="D30" s="7" t="n"/>
      <c r="E30" s="7" t="n"/>
      <c r="F30" s="58" t="n"/>
      <c r="G30" s="7" t="n"/>
      <c r="H30" s="58" t="n"/>
      <c r="I30" s="59" t="n"/>
      <c r="J30" s="7" t="inlineStr">
        <is>
          <t>☐</t>
        </is>
      </c>
      <c r="K30" s="12" t="n"/>
      <c r="L30" s="12" t="n"/>
    </row>
    <row r="31">
      <c r="A31" s="56" t="n">
        <v>46116</v>
      </c>
      <c r="B31" s="57" t="n"/>
      <c r="C31" s="57" t="n"/>
      <c r="D31" s="7" t="n"/>
      <c r="E31" s="7" t="n"/>
      <c r="F31" s="58" t="n"/>
      <c r="G31" s="7" t="n"/>
      <c r="H31" s="58" t="n"/>
      <c r="I31" s="59" t="n"/>
      <c r="J31" s="7" t="inlineStr">
        <is>
          <t>☐</t>
        </is>
      </c>
      <c r="K31" s="12" t="n"/>
      <c r="L31" s="12" t="n"/>
    </row>
    <row r="32">
      <c r="A32" s="56" t="n">
        <v>46116</v>
      </c>
      <c r="B32" s="57" t="n"/>
      <c r="C32" s="57" t="n"/>
      <c r="D32" s="7" t="n"/>
      <c r="E32" s="7" t="n"/>
      <c r="F32" s="58" t="n"/>
      <c r="G32" s="7" t="n"/>
      <c r="H32" s="58" t="n"/>
      <c r="I32" s="59" t="n"/>
      <c r="J32" s="7" t="inlineStr">
        <is>
          <t>☐</t>
        </is>
      </c>
      <c r="K32" s="12" t="n"/>
      <c r="L32" s="12" t="n"/>
    </row>
    <row r="33">
      <c r="A33" s="56" t="n">
        <v>46116</v>
      </c>
      <c r="B33" s="57" t="n"/>
      <c r="C33" s="57" t="n"/>
      <c r="D33" s="7" t="n"/>
      <c r="E33" s="7" t="n"/>
      <c r="F33" s="58" t="n"/>
      <c r="G33" s="7" t="n"/>
      <c r="H33" s="58" t="n"/>
      <c r="I33" s="59" t="n"/>
      <c r="J33" s="7" t="inlineStr">
        <is>
          <t>☐</t>
        </is>
      </c>
      <c r="K33" s="12" t="n"/>
      <c r="L33" s="12" t="n"/>
    </row>
    <row r="34">
      <c r="A34" s="56" t="n">
        <v>46116</v>
      </c>
      <c r="B34" s="57" t="n"/>
      <c r="C34" s="57" t="n"/>
      <c r="D34" s="7" t="n"/>
      <c r="E34" s="7" t="n"/>
      <c r="F34" s="58" t="n"/>
      <c r="G34" s="7" t="n"/>
      <c r="H34" s="58" t="n"/>
      <c r="I34" s="59" t="n"/>
      <c r="J34" s="7" t="inlineStr">
        <is>
          <t>☐</t>
        </is>
      </c>
      <c r="K34" s="12" t="n"/>
      <c r="L34" s="12" t="n"/>
    </row>
    <row r="35">
      <c r="A35" s="56" t="n">
        <v>46116</v>
      </c>
      <c r="B35" s="57" t="n"/>
      <c r="C35" s="57" t="n"/>
      <c r="D35" s="7" t="inlineStr">
        <is>
          <t>高铁</t>
        </is>
      </c>
      <c r="E35" s="7" t="inlineStr">
        <is>
          <t>成都东 - 沙坪坝</t>
        </is>
      </c>
      <c r="F35" s="58" t="n"/>
      <c r="G35" s="7" t="n"/>
      <c r="H35" s="58" t="n">
        <v>0</v>
      </c>
      <c r="I35" s="59" t="n"/>
      <c r="J35" s="7" t="inlineStr">
        <is>
          <t>☐</t>
        </is>
      </c>
      <c r="K35" s="12" t="n"/>
      <c r="L35" s="12" t="n"/>
    </row>
    <row r="36">
      <c r="A36" s="56" t="n">
        <v>46116</v>
      </c>
      <c r="B36" s="57" t="n"/>
      <c r="C36" s="57" t="n"/>
      <c r="D36" s="7" t="inlineStr">
        <is>
          <t>入住</t>
        </is>
      </c>
      <c r="E36" s="7" t="inlineStr">
        <is>
          <t>重庆解放碑步行街城际酒店</t>
        </is>
      </c>
      <c r="F36" s="58" t="n"/>
      <c r="G36" s="7" t="n">
        <v>1</v>
      </c>
      <c r="H36" s="58" t="n">
        <v>612.89</v>
      </c>
      <c r="I36" s="59" t="n"/>
      <c r="J36" s="7" t="inlineStr">
        <is>
          <t>☑</t>
        </is>
      </c>
      <c r="K36" s="12" t="n"/>
      <c r="L36" s="12" t="n"/>
    </row>
    <row r="37">
      <c r="A37" s="56" t="n">
        <v>46116</v>
      </c>
      <c r="B37" s="57" t="n"/>
      <c r="C37" s="57" t="n"/>
      <c r="D37" s="7" t="n"/>
      <c r="E37" s="7" t="n"/>
      <c r="F37" s="58" t="n"/>
      <c r="G37" s="7" t="n"/>
      <c r="H37" s="58" t="n">
        <v>0</v>
      </c>
      <c r="I37" s="59" t="n"/>
      <c r="J37" s="7" t="inlineStr">
        <is>
          <t>☐</t>
        </is>
      </c>
      <c r="K37" s="12" t="n"/>
      <c r="L37" s="12" t="n"/>
    </row>
    <row r="38" ht="18" customHeight="1">
      <c r="A38" s="6" t="inlineStr">
        <is>
          <t>4月5日周日   重庆</t>
        </is>
      </c>
      <c r="K38" s="12" t="n"/>
      <c r="L38" s="12" t="n"/>
    </row>
    <row r="39">
      <c r="A39" s="56" t="n">
        <v>46117</v>
      </c>
      <c r="B39" s="57" t="n"/>
      <c r="C39" s="57" t="n"/>
      <c r="D39" s="7" t="n"/>
      <c r="E39" s="7" t="n"/>
      <c r="F39" s="58" t="n"/>
      <c r="G39" s="7" t="n"/>
      <c r="H39" s="58" t="n">
        <v>0</v>
      </c>
      <c r="I39" s="59" t="n"/>
      <c r="J39" s="7" t="inlineStr">
        <is>
          <t>☐</t>
        </is>
      </c>
      <c r="K39" s="12" t="n"/>
      <c r="L39" s="12" t="n"/>
    </row>
    <row r="40">
      <c r="A40" s="56" t="n">
        <v>46117</v>
      </c>
      <c r="B40" s="57" t="n"/>
      <c r="C40" s="57" t="n"/>
      <c r="D40" s="7" t="inlineStr">
        <is>
          <t>酒店</t>
        </is>
      </c>
      <c r="E40" s="7" t="inlineStr">
        <is>
          <t>重庆解放碑步行街城际酒店</t>
        </is>
      </c>
      <c r="F40" s="58" t="n"/>
      <c r="G40" s="7" t="n">
        <v>1</v>
      </c>
      <c r="H40" s="58" t="n">
        <v>572.51</v>
      </c>
      <c r="I40" s="59" t="n"/>
      <c r="J40" s="7" t="inlineStr">
        <is>
          <t>☑</t>
        </is>
      </c>
      <c r="K40" s="12" t="n"/>
      <c r="L40" s="12" t="n"/>
    </row>
    <row r="41" ht="18" customHeight="1">
      <c r="A41" s="6" t="inlineStr">
        <is>
          <t>4月6日周一  重庆-无锡-苏州</t>
        </is>
      </c>
      <c r="K41" s="12" t="n"/>
      <c r="L41" s="12" t="n"/>
    </row>
    <row r="42">
      <c r="A42" s="56" t="n"/>
      <c r="B42" s="57" t="n"/>
      <c r="C42" s="57" t="n"/>
      <c r="D42" s="7" t="n"/>
      <c r="E42" s="7" t="n"/>
      <c r="F42" s="58" t="n"/>
      <c r="G42" s="7" t="n"/>
      <c r="H42" s="58" t="n">
        <v>0</v>
      </c>
      <c r="I42" s="59" t="n"/>
      <c r="J42" s="7" t="inlineStr">
        <is>
          <t>☐</t>
        </is>
      </c>
      <c r="K42" s="12" t="n"/>
      <c r="L42" s="12" t="n"/>
    </row>
    <row r="43">
      <c r="A43" s="56" t="n">
        <v>46118</v>
      </c>
      <c r="B43" s="57" t="n"/>
      <c r="C43" s="57" t="n"/>
      <c r="D43" s="7" t="inlineStr">
        <is>
          <t>check out</t>
        </is>
      </c>
      <c r="E43" s="7" t="n"/>
      <c r="F43" s="58" t="n"/>
      <c r="G43" s="7" t="n"/>
      <c r="H43" s="58" t="n">
        <v>0</v>
      </c>
      <c r="I43" s="59" t="n"/>
      <c r="J43" s="7" t="inlineStr">
        <is>
          <t>☐</t>
        </is>
      </c>
      <c r="K43" s="12" t="n"/>
      <c r="L43" s="12" t="n"/>
    </row>
    <row r="44">
      <c r="A44" s="56" t="n">
        <v>46118</v>
      </c>
      <c r="B44" s="57" t="n"/>
      <c r="C44" s="57" t="n">
        <v>0.6875</v>
      </c>
      <c r="D44" s="7" t="n"/>
      <c r="E44" s="7" t="n"/>
      <c r="F44" s="58" t="n"/>
      <c r="G44" s="7" t="n"/>
      <c r="H44" s="58" t="n"/>
      <c r="I44" s="59" t="n"/>
      <c r="J44" s="7" t="inlineStr">
        <is>
          <t>☐</t>
        </is>
      </c>
      <c r="K44" s="12" t="n"/>
      <c r="L44" s="12" t="n"/>
    </row>
    <row r="45">
      <c r="A45" s="56" t="n">
        <v>46118</v>
      </c>
      <c r="B45" s="57" t="n">
        <v>0.7465277777777778</v>
      </c>
      <c r="C45" s="57" t="n">
        <v>0.8402777777777778</v>
      </c>
      <c r="D45" s="7" t="inlineStr">
        <is>
          <t>飞机</t>
        </is>
      </c>
      <c r="E45" s="7" t="inlineStr">
        <is>
          <t>江北-硕放</t>
        </is>
      </c>
      <c r="F45" s="58" t="n">
        <v>1411</v>
      </c>
      <c r="G45" s="7" t="n">
        <v>2</v>
      </c>
      <c r="H45" s="58" t="n">
        <v>2822</v>
      </c>
      <c r="I45" s="59" t="n"/>
      <c r="J45" s="7" t="inlineStr">
        <is>
          <t>☑</t>
        </is>
      </c>
      <c r="K45" s="12" t="n"/>
      <c r="L45" s="12" t="n"/>
    </row>
    <row r="46">
      <c r="A46" s="56" t="n">
        <v>46118</v>
      </c>
      <c r="B46" s="57" t="n"/>
      <c r="C46" s="57" t="n"/>
      <c r="D46" s="7" t="inlineStr">
        <is>
          <t>高铁</t>
        </is>
      </c>
      <c r="E46" s="7" t="n"/>
      <c r="F46" s="58" t="n"/>
      <c r="G46" s="7" t="n"/>
      <c r="H46" s="58" t="n"/>
      <c r="I46" s="59" t="n">
        <v>46104</v>
      </c>
      <c r="J46" s="7" t="inlineStr">
        <is>
          <t>☐</t>
        </is>
      </c>
      <c r="K46" s="12" t="n"/>
      <c r="L46" s="12" t="n"/>
    </row>
  </sheetData>
  <mergeCells count="5">
    <mergeCell ref="A8:J8"/>
    <mergeCell ref="A20:J20"/>
    <mergeCell ref="A38:J38"/>
    <mergeCell ref="A2:J2"/>
    <mergeCell ref="A41:J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00"/>
  <sheetViews>
    <sheetView showGridLines="0" zoomScale="85" zoomScaleNormal="85" workbookViewId="0">
      <pane ySplit="4" topLeftCell="A5" activePane="bottomLeft" state="frozen"/>
      <selection activeCell="A1" sqref="A1"/>
      <selection pane="bottomLeft" activeCell="F14" sqref="F14"/>
    </sheetView>
  </sheetViews>
  <sheetFormatPr baseColWidth="8" defaultColWidth="9" defaultRowHeight="14.25"/>
  <cols>
    <col width="11" customWidth="1" style="14" min="1" max="3"/>
    <col width="10" customWidth="1" style="14" min="4" max="4"/>
    <col width="21" customWidth="1" style="14" min="5" max="5"/>
    <col width="38" customWidth="1" style="14" min="6" max="6"/>
    <col width="12" customWidth="1" style="14" min="7" max="7"/>
    <col width="10.625" customWidth="1" style="14" min="8" max="8"/>
    <col width="13" customWidth="1" style="14" min="9" max="9"/>
    <col width="17.75" customWidth="1" style="14" min="10" max="10"/>
    <col width="13" customWidth="1" style="14" min="11" max="11"/>
    <col width="24" customWidth="1" style="14" min="12" max="12"/>
    <col hidden="1" width="13" customWidth="1" min="13" max="13"/>
    <col width="9" customWidth="1" style="14" min="14" max="14"/>
    <col width="9" customWidth="1" style="14" min="15" max="16384"/>
  </cols>
  <sheetData>
    <row r="1" ht="33.95" customHeight="1">
      <c r="A1" s="15" t="inlineStr">
        <is>
          <t>2026 清明 · 成都重庆旅行计划</t>
        </is>
      </c>
      <c r="M1" s="53" t="n">
        <v>0</v>
      </c>
    </row>
    <row r="2" ht="24.95" customHeight="1">
      <c r="A2" s="16" t="inlineStr">
        <is>
          <t>计划日期</t>
        </is>
      </c>
      <c r="B2" s="46" t="n">
        <v>46114</v>
      </c>
      <c r="C2" s="46" t="n">
        <v>46118</v>
      </c>
      <c r="D2" s="16" t="inlineStr">
        <is>
          <t>人数</t>
        </is>
      </c>
      <c r="E2" s="18" t="n">
        <v>2</v>
      </c>
      <c r="G2" s="16" t="inlineStr">
        <is>
          <t>预计总消费</t>
        </is>
      </c>
      <c r="H2" s="47">
        <f>SUM(I5:I199)</f>
        <v/>
      </c>
      <c r="J2" s="16" t="inlineStr">
        <is>
          <t>待办数量</t>
        </is>
      </c>
      <c r="K2" s="18">
        <f>COUNTIF(K5:K199,"待购买")+COUNTIF(K5:K199,"待预约")</f>
        <v/>
      </c>
      <c r="M2" s="53" t="n">
        <v>0.006944444444444444</v>
      </c>
    </row>
    <row r="3" ht="21" customHeight="1">
      <c r="A3" s="20" t="inlineStr">
        <is>
          <t>按执行时间自上而下阅读；蓝色行表示每天的行程分段，黄色状态表示仍需处理。</t>
        </is>
      </c>
      <c r="M3" s="53" t="n">
        <v>0.01388888888888889</v>
      </c>
    </row>
    <row r="4" ht="26.1" customHeight="1">
      <c r="A4" s="21" t="inlineStr">
        <is>
          <t>日期</t>
        </is>
      </c>
      <c r="B4" s="21" t="inlineStr">
        <is>
          <t>开始</t>
        </is>
      </c>
      <c r="C4" s="21" t="inlineStr">
        <is>
          <t>结束</t>
        </is>
      </c>
      <c r="D4" s="21" t="inlineStr">
        <is>
          <t>类型</t>
        </is>
      </c>
      <c r="E4" s="21" t="inlineStr">
        <is>
          <t>项目</t>
        </is>
      </c>
      <c r="F4" s="21" t="inlineStr">
        <is>
          <t>路线 / 备注</t>
        </is>
      </c>
      <c r="G4" s="21" t="inlineStr">
        <is>
          <t>单价</t>
        </is>
      </c>
      <c r="H4" s="21" t="inlineStr">
        <is>
          <t>数量</t>
        </is>
      </c>
      <c r="I4" s="21" t="inlineStr">
        <is>
          <t>消费</t>
        </is>
      </c>
      <c r="J4" s="21" t="inlineStr">
        <is>
          <t>开售 / 预约时间</t>
        </is>
      </c>
      <c r="K4" s="21" t="inlineStr">
        <is>
          <t>状态</t>
        </is>
      </c>
      <c r="L4" s="21" t="inlineStr">
        <is>
          <t>地点 / 地图关键词</t>
        </is>
      </c>
      <c r="M4" s="53" t="n">
        <v>0.02083333333333333</v>
      </c>
    </row>
    <row r="5" ht="27" customHeight="1">
      <c r="A5" s="22" t="inlineStr">
        <is>
          <t>4月2日周四   苏州-上海-成都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53" t="n">
        <v>0.02777777777777778</v>
      </c>
    </row>
    <row r="6" ht="24.95" customHeight="1">
      <c r="A6" s="48" t="n">
        <v>46114</v>
      </c>
      <c r="B6" s="49" t="n">
        <v>0.7708333333333334</v>
      </c>
      <c r="C6" s="49" t="n">
        <v>0.7916666666666666</v>
      </c>
      <c r="D6" s="26" t="inlineStr">
        <is>
          <t>交通</t>
        </is>
      </c>
      <c r="E6" s="27" t="inlineStr">
        <is>
          <t>打车</t>
        </is>
      </c>
      <c r="F6" s="27" t="inlineStr">
        <is>
          <t>家-苏州北</t>
        </is>
      </c>
      <c r="G6" s="50" t="n"/>
      <c r="H6" s="29" t="n">
        <v>1</v>
      </c>
      <c r="I6" s="50" t="n"/>
      <c r="J6" s="52" t="n"/>
      <c r="K6" s="26" t="inlineStr">
        <is>
          <t>无需预订</t>
        </is>
      </c>
      <c r="M6" s="53" t="n">
        <v>0.03472222222222222</v>
      </c>
    </row>
    <row r="7" ht="24.95" customHeight="1">
      <c r="A7" s="60" t="n">
        <v>46114</v>
      </c>
      <c r="B7" s="61" t="n">
        <v>0.8111111111111111</v>
      </c>
      <c r="C7" s="61" t="n">
        <v>0.8263888888888888</v>
      </c>
      <c r="D7" s="26" t="inlineStr">
        <is>
          <t>交通</t>
        </is>
      </c>
      <c r="E7" s="33" t="inlineStr">
        <is>
          <t>高铁</t>
        </is>
      </c>
      <c r="F7" s="33" t="inlineStr">
        <is>
          <t>G739 苏州北-上海虹桥</t>
        </is>
      </c>
      <c r="G7" s="62" t="n">
        <v>45</v>
      </c>
      <c r="H7" s="35" t="n">
        <v>2</v>
      </c>
      <c r="I7" s="62">
        <f>G7*H7</f>
        <v/>
      </c>
      <c r="J7" s="63" t="n">
        <v>46100</v>
      </c>
      <c r="K7" s="26" t="inlineStr">
        <is>
          <t>已购买</t>
        </is>
      </c>
      <c r="M7" s="53" t="n">
        <v>0.04166666666666666</v>
      </c>
    </row>
    <row r="8" ht="24.95" customHeight="1">
      <c r="A8" s="48" t="n">
        <v>46114</v>
      </c>
      <c r="B8" s="49" t="n">
        <v>0.875</v>
      </c>
      <c r="C8" s="49" t="n">
        <v>0.9965277777777778</v>
      </c>
      <c r="D8" s="26" t="inlineStr">
        <is>
          <t>交通</t>
        </is>
      </c>
      <c r="E8" s="27" t="inlineStr">
        <is>
          <t>飞机</t>
        </is>
      </c>
      <c r="F8" s="27" t="inlineStr">
        <is>
          <t>MU5447 虹桥-双流</t>
        </is>
      </c>
      <c r="G8" s="50" t="n">
        <v>610.95</v>
      </c>
      <c r="H8" s="29" t="n">
        <v>2</v>
      </c>
      <c r="I8" s="50">
        <f>G8*H8</f>
        <v/>
      </c>
      <c r="J8" s="52" t="n"/>
      <c r="K8" s="26" t="inlineStr">
        <is>
          <t>已购买</t>
        </is>
      </c>
      <c r="M8" s="53" t="n">
        <v>0.04861111111111111</v>
      </c>
    </row>
    <row r="9" ht="24.95" customHeight="1">
      <c r="A9" s="60" t="n">
        <v>46114</v>
      </c>
      <c r="B9" s="61" t="n"/>
      <c r="C9" s="61" t="n"/>
      <c r="D9" s="26" t="inlineStr">
        <is>
          <t>住宿</t>
        </is>
      </c>
      <c r="E9" s="33" t="inlineStr">
        <is>
          <t>入住</t>
        </is>
      </c>
      <c r="F9" s="33" t="inlineStr">
        <is>
          <t>汉庭春熙路步行街酒店</t>
        </is>
      </c>
      <c r="G9" s="62" t="n">
        <v>272.91</v>
      </c>
      <c r="H9" s="35" t="n">
        <v>1</v>
      </c>
      <c r="I9" s="62">
        <f>G9*H9</f>
        <v/>
      </c>
      <c r="J9" s="63" t="n"/>
      <c r="K9" s="26" t="inlineStr">
        <is>
          <t>已购买</t>
        </is>
      </c>
      <c r="M9" s="53" t="n">
        <v>0.05555555555555555</v>
      </c>
    </row>
    <row r="10" ht="27" customHeight="1">
      <c r="A10" s="22" t="inlineStr">
        <is>
          <t>4月3日周五   成都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53" t="n">
        <v>0.0625</v>
      </c>
    </row>
    <row r="11" ht="24.95" customHeight="1">
      <c r="A11" s="60" t="n">
        <v>46115</v>
      </c>
      <c r="B11" s="61" t="n">
        <v>0.2916666666666667</v>
      </c>
      <c r="C11" s="61" t="n"/>
      <c r="D11" s="26" t="inlineStr">
        <is>
          <t>日常</t>
        </is>
      </c>
      <c r="E11" s="33" t="inlineStr">
        <is>
          <t>起床</t>
        </is>
      </c>
      <c r="F11" s="33" t="n"/>
      <c r="G11" s="62" t="n"/>
      <c r="H11" s="35" t="n"/>
      <c r="I11" s="62" t="n"/>
      <c r="J11" s="63" t="n"/>
      <c r="K11" s="26" t="inlineStr">
        <is>
          <t>无需预订</t>
        </is>
      </c>
      <c r="M11" s="53" t="n">
        <v>0.06944444444444445</v>
      </c>
    </row>
    <row r="12" ht="24.95" customHeight="1">
      <c r="A12" s="48" t="n">
        <v>46115</v>
      </c>
      <c r="B12" s="49" t="n">
        <v>0.3333333333333333</v>
      </c>
      <c r="C12" s="49" t="n">
        <v>0.3541666666666667</v>
      </c>
      <c r="D12" s="26" t="inlineStr">
        <is>
          <t>交通</t>
        </is>
      </c>
      <c r="E12" s="27" t="inlineStr">
        <is>
          <t>打车</t>
        </is>
      </c>
      <c r="F12" s="27" t="n"/>
      <c r="G12" s="50" t="n"/>
      <c r="H12" s="29" t="n"/>
      <c r="I12" s="50" t="n"/>
      <c r="J12" s="52" t="n"/>
      <c r="K12" s="26" t="inlineStr">
        <is>
          <t>无需预订</t>
        </is>
      </c>
      <c r="M12" s="53" t="n">
        <v>0.0763888888888889</v>
      </c>
    </row>
    <row r="13" ht="24.95" customHeight="1">
      <c r="A13" s="60" t="n">
        <v>46115</v>
      </c>
      <c r="B13" s="61" t="n">
        <v>0.3541666666666667</v>
      </c>
      <c r="C13" s="61" t="n">
        <v>0.5625</v>
      </c>
      <c r="D13" s="26" t="inlineStr">
        <is>
          <t>游览</t>
        </is>
      </c>
      <c r="E13" s="33" t="inlineStr">
        <is>
          <t>成都大熊猫繁育基地</t>
        </is>
      </c>
      <c r="F13" s="33" t="inlineStr">
        <is>
          <t>南门自定义路线</t>
        </is>
      </c>
      <c r="G13" s="62" t="n">
        <v>55</v>
      </c>
      <c r="H13" s="35" t="n">
        <v>2</v>
      </c>
      <c r="I13" s="62">
        <f>G13*H13</f>
        <v/>
      </c>
      <c r="J13" s="63" t="n"/>
      <c r="K13" s="26" t="inlineStr">
        <is>
          <t>已购买</t>
        </is>
      </c>
      <c r="M13" s="53" t="n">
        <v>0.08333333333333333</v>
      </c>
    </row>
    <row r="14" ht="24.95" customHeight="1">
      <c r="A14" s="48" t="n">
        <v>46115</v>
      </c>
      <c r="B14" s="49" t="n"/>
      <c r="C14" s="49" t="n"/>
      <c r="D14" s="26" t="inlineStr">
        <is>
          <t>交通</t>
        </is>
      </c>
      <c r="E14" s="27" t="inlineStr">
        <is>
          <t>观光车</t>
        </is>
      </c>
      <c r="F14" s="27" t="n"/>
      <c r="G14" s="50" t="n"/>
      <c r="H14" s="29" t="n"/>
      <c r="I14" s="50" t="n"/>
      <c r="J14" s="52" t="n"/>
      <c r="K14" s="26" t="inlineStr">
        <is>
          <t>无需预订</t>
        </is>
      </c>
      <c r="M14" s="53" t="n">
        <v>0.09027777777777778</v>
      </c>
    </row>
    <row r="15" ht="24.95" customHeight="1">
      <c r="A15" s="60" t="n">
        <v>46115</v>
      </c>
      <c r="B15" s="61" t="n"/>
      <c r="C15" s="61" t="n"/>
      <c r="D15" s="26" t="inlineStr">
        <is>
          <t>餐饮</t>
        </is>
      </c>
      <c r="E15" s="33" t="inlineStr">
        <is>
          <t>午饭</t>
        </is>
      </c>
      <c r="F15" s="33" t="n"/>
      <c r="G15" s="62" t="n"/>
      <c r="H15" s="35" t="n"/>
      <c r="I15" s="62" t="n"/>
      <c r="J15" s="63" t="n"/>
      <c r="K15" s="26" t="inlineStr">
        <is>
          <t>无需预订</t>
        </is>
      </c>
      <c r="M15" s="53" t="n">
        <v>0.09722222222222222</v>
      </c>
    </row>
    <row r="16" ht="24.95" customHeight="1">
      <c r="A16" s="48" t="n">
        <v>46115</v>
      </c>
      <c r="B16" s="49" t="n">
        <v>0.6041666666666666</v>
      </c>
      <c r="C16" s="49" t="n"/>
      <c r="D16" s="26" t="inlineStr">
        <is>
          <t>住宿</t>
        </is>
      </c>
      <c r="E16" s="27" t="inlineStr">
        <is>
          <t>入住</t>
        </is>
      </c>
      <c r="F16" s="27" t="inlineStr">
        <is>
          <t>成都富力丽思卡尔顿酒店</t>
        </is>
      </c>
      <c r="G16" s="50" t="n">
        <v>862</v>
      </c>
      <c r="H16" s="29" t="n">
        <v>1</v>
      </c>
      <c r="I16" s="50">
        <f>G16*H16</f>
        <v/>
      </c>
      <c r="J16" s="52" t="n"/>
      <c r="K16" s="26" t="inlineStr">
        <is>
          <t>已购买</t>
        </is>
      </c>
      <c r="M16" s="53" t="n">
        <v>0.1041666666666667</v>
      </c>
    </row>
    <row r="17" ht="24.95" customHeight="1">
      <c r="A17" s="60" t="n">
        <v>46115</v>
      </c>
      <c r="B17" s="61" t="n">
        <v>0.625</v>
      </c>
      <c r="C17" s="61" t="n">
        <v>0.7083333333333334</v>
      </c>
      <c r="D17" s="26" t="inlineStr">
        <is>
          <t>游览</t>
        </is>
      </c>
      <c r="E17" s="33" t="inlineStr">
        <is>
          <t>成都博物馆</t>
        </is>
      </c>
      <c r="F17" s="33" t="inlineStr">
        <is>
          <t>9:00 - 20:30，20:00停止入园</t>
        </is>
      </c>
      <c r="G17" s="62" t="n"/>
      <c r="H17" s="35" t="n"/>
      <c r="I17" s="62" t="n"/>
      <c r="J17" s="63" t="n">
        <v>46115.58333333334</v>
      </c>
      <c r="K17" s="26" t="inlineStr">
        <is>
          <t>待预约</t>
        </is>
      </c>
      <c r="M17" s="53" t="n">
        <v>0.1111111111111111</v>
      </c>
    </row>
    <row r="18" ht="24.95" customHeight="1">
      <c r="A18" s="48" t="n">
        <v>46115</v>
      </c>
      <c r="B18" s="49" t="n">
        <v>0.7291666666666666</v>
      </c>
      <c r="C18" s="49" t="n"/>
      <c r="D18" s="26" t="inlineStr">
        <is>
          <t>游览</t>
        </is>
      </c>
      <c r="E18" s="27" t="inlineStr">
        <is>
          <t>太古里</t>
        </is>
      </c>
      <c r="F18" s="27" t="n"/>
      <c r="G18" s="50" t="n"/>
      <c r="H18" s="29" t="n"/>
      <c r="I18" s="50" t="n"/>
      <c r="J18" s="52" t="n"/>
      <c r="K18" s="26" t="inlineStr">
        <is>
          <t>无需预订</t>
        </is>
      </c>
      <c r="M18" s="53" t="n">
        <v>0.1180555555555556</v>
      </c>
    </row>
    <row r="19" ht="24.95" customHeight="1">
      <c r="A19" s="60" t="n">
        <v>46115</v>
      </c>
      <c r="B19" s="61" t="n"/>
      <c r="C19" s="61" t="n"/>
      <c r="D19" s="26" t="inlineStr">
        <is>
          <t>餐饮</t>
        </is>
      </c>
      <c r="E19" s="33" t="inlineStr">
        <is>
          <t>晚饭</t>
        </is>
      </c>
      <c r="F19" s="33" t="n"/>
      <c r="G19" s="62" t="n"/>
      <c r="H19" s="35" t="n"/>
      <c r="I19" s="62" t="n"/>
      <c r="J19" s="63" t="n"/>
      <c r="K19" s="26" t="inlineStr">
        <is>
          <t>无需预订</t>
        </is>
      </c>
      <c r="M19" s="53" t="n">
        <v>0.125</v>
      </c>
    </row>
    <row r="20" ht="24.95" customHeight="1">
      <c r="A20" s="48" t="n">
        <v>46115</v>
      </c>
      <c r="B20" s="49" t="n"/>
      <c r="C20" s="49" t="n"/>
      <c r="D20" s="26" t="inlineStr">
        <is>
          <t>游览</t>
        </is>
      </c>
      <c r="E20" s="27" t="inlineStr">
        <is>
          <t>IFS</t>
        </is>
      </c>
      <c r="F20" s="27" t="n"/>
      <c r="G20" s="50" t="n"/>
      <c r="H20" s="29" t="n"/>
      <c r="I20" s="50" t="n"/>
      <c r="J20" s="52" t="n"/>
      <c r="K20" s="26" t="inlineStr">
        <is>
          <t>无需预订</t>
        </is>
      </c>
      <c r="M20" s="53" t="n">
        <v>0.1319444444444444</v>
      </c>
    </row>
    <row r="21" ht="24.95" customHeight="1">
      <c r="A21" s="60" t="n">
        <v>46115</v>
      </c>
      <c r="B21" s="61" t="n"/>
      <c r="C21" s="61" t="n"/>
      <c r="D21" s="26" t="inlineStr">
        <is>
          <t>住宿</t>
        </is>
      </c>
      <c r="E21" s="33" t="inlineStr">
        <is>
          <t>酒店</t>
        </is>
      </c>
      <c r="F21" s="33" t="n"/>
      <c r="G21" s="62" t="n"/>
      <c r="H21" s="35" t="n"/>
      <c r="I21" s="62" t="n"/>
      <c r="J21" s="63" t="n"/>
      <c r="K21" s="26" t="inlineStr">
        <is>
          <t>待购买</t>
        </is>
      </c>
      <c r="M21" s="53" t="n">
        <v>0.1388888888888889</v>
      </c>
    </row>
    <row r="22" ht="27" customHeight="1">
      <c r="A22" s="22" t="inlineStr">
        <is>
          <t>4月4日周六   成都-重庆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53" t="n">
        <v>0.1458333333333333</v>
      </c>
    </row>
    <row r="23" ht="24.95" customHeight="1">
      <c r="A23" s="60" t="n">
        <v>46116</v>
      </c>
      <c r="B23" s="61" t="n">
        <v>0.3125</v>
      </c>
      <c r="C23" s="61" t="n">
        <v>0.3333333333333333</v>
      </c>
      <c r="D23" s="26" t="inlineStr">
        <is>
          <t>日常</t>
        </is>
      </c>
      <c r="E23" s="33" t="inlineStr">
        <is>
          <t>起床</t>
        </is>
      </c>
      <c r="F23" s="33" t="n"/>
      <c r="G23" s="62" t="n"/>
      <c r="H23" s="35" t="n"/>
      <c r="I23" s="62" t="n"/>
      <c r="J23" s="63" t="n"/>
      <c r="K23" s="26" t="inlineStr">
        <is>
          <t>无需预订</t>
        </is>
      </c>
      <c r="M23" s="53" t="n">
        <v>0.1527777777777778</v>
      </c>
    </row>
    <row r="24" ht="24.95" customHeight="1">
      <c r="A24" s="48" t="n">
        <v>46116</v>
      </c>
      <c r="B24" s="49" t="n">
        <v>0.3333333333333333</v>
      </c>
      <c r="C24" s="49" t="n">
        <v>0.3541666666666667</v>
      </c>
      <c r="D24" s="26" t="inlineStr">
        <is>
          <t>餐饮</t>
        </is>
      </c>
      <c r="E24" s="27" t="inlineStr">
        <is>
          <t>早餐</t>
        </is>
      </c>
      <c r="F24" s="27" t="inlineStr">
        <is>
          <t>豪华自助</t>
        </is>
      </c>
      <c r="G24" s="50" t="n"/>
      <c r="H24" s="29" t="n"/>
      <c r="I24" s="50" t="n"/>
      <c r="J24" s="52" t="n"/>
      <c r="K24" s="26" t="inlineStr">
        <is>
          <t>已购买</t>
        </is>
      </c>
      <c r="M24" s="53" t="n">
        <v>0.1597222222222222</v>
      </c>
    </row>
    <row r="25" ht="24.95" customHeight="1">
      <c r="A25" s="60" t="n">
        <v>46116</v>
      </c>
      <c r="B25" s="61" t="n"/>
      <c r="C25" s="61" t="n"/>
      <c r="D25" s="26" t="inlineStr">
        <is>
          <t>交通</t>
        </is>
      </c>
      <c r="E25" s="33" t="inlineStr">
        <is>
          <t>公交车</t>
        </is>
      </c>
      <c r="F25" s="33" t="inlineStr">
        <is>
          <t>55路</t>
        </is>
      </c>
      <c r="G25" s="62" t="n"/>
      <c r="H25" s="35" t="n"/>
      <c r="I25" s="62" t="n"/>
      <c r="J25" s="63" t="n"/>
      <c r="K25" s="26" t="inlineStr">
        <is>
          <t>无需预订</t>
        </is>
      </c>
      <c r="M25" s="53" t="n">
        <v>0.1666666666666667</v>
      </c>
    </row>
    <row r="26" ht="24.95" customHeight="1">
      <c r="A26" s="48" t="n">
        <v>46116</v>
      </c>
      <c r="B26" s="49" t="n"/>
      <c r="C26" s="49" t="n"/>
      <c r="D26" s="26" t="inlineStr">
        <is>
          <t>游览</t>
        </is>
      </c>
      <c r="E26" s="27" t="inlineStr">
        <is>
          <t>武侯祠</t>
        </is>
      </c>
      <c r="F26" s="27" t="inlineStr">
        <is>
          <t>9:00 - 18:00，17:00 停止入园</t>
        </is>
      </c>
      <c r="G26" s="50" t="n"/>
      <c r="H26" s="29" t="n"/>
      <c r="I26" s="50" t="n"/>
      <c r="J26" s="52" t="n"/>
      <c r="K26" s="26" t="inlineStr">
        <is>
          <t>无需预订</t>
        </is>
      </c>
      <c r="M26" s="53" t="n">
        <v>0.1736111111111111</v>
      </c>
    </row>
    <row r="27" ht="24.95" customHeight="1">
      <c r="A27" s="60" t="n">
        <v>46116</v>
      </c>
      <c r="B27" s="61" t="n"/>
      <c r="C27" s="61" t="n"/>
      <c r="D27" s="26" t="inlineStr">
        <is>
          <t>游览</t>
        </is>
      </c>
      <c r="E27" s="33" t="inlineStr">
        <is>
          <t>杜甫草堂</t>
        </is>
      </c>
      <c r="F27" s="33" t="inlineStr">
        <is>
          <t>9:00 - 18:00，17:30 停止入园</t>
        </is>
      </c>
      <c r="G27" s="62" t="n"/>
      <c r="H27" s="35" t="n"/>
      <c r="I27" s="62" t="n"/>
      <c r="J27" s="63" t="n"/>
      <c r="K27" s="26" t="inlineStr">
        <is>
          <t>无需预订</t>
        </is>
      </c>
      <c r="M27" s="53" t="n">
        <v>0.1805555555555556</v>
      </c>
    </row>
    <row r="28" ht="24.95" customHeight="1">
      <c r="A28" s="48" t="n">
        <v>46116</v>
      </c>
      <c r="B28" s="49" t="n"/>
      <c r="C28" s="49" t="n"/>
      <c r="D28" s="26" t="inlineStr">
        <is>
          <t>游览</t>
        </is>
      </c>
      <c r="E28" s="27" t="inlineStr">
        <is>
          <t>宽窄巷子</t>
        </is>
      </c>
      <c r="F28" s="27" t="n"/>
      <c r="G28" s="50" t="n"/>
      <c r="H28" s="29" t="n"/>
      <c r="I28" s="50" t="n"/>
      <c r="J28" s="52" t="n"/>
      <c r="K28" s="26" t="inlineStr">
        <is>
          <t>无需预订</t>
        </is>
      </c>
      <c r="M28" s="53" t="n">
        <v>0.1875</v>
      </c>
    </row>
    <row r="29" ht="24.95" customHeight="1">
      <c r="A29" s="60" t="n">
        <v>46116</v>
      </c>
      <c r="B29" s="61" t="n"/>
      <c r="C29" s="61" t="n"/>
      <c r="D29" s="26" t="inlineStr">
        <is>
          <t>餐饮</t>
        </is>
      </c>
      <c r="E29" s="33" t="inlineStr">
        <is>
          <t>午餐</t>
        </is>
      </c>
      <c r="F29" s="33" t="n"/>
      <c r="G29" s="62" t="n"/>
      <c r="H29" s="35" t="n"/>
      <c r="I29" s="62" t="n"/>
      <c r="J29" s="63" t="n"/>
      <c r="K29" s="26" t="inlineStr">
        <is>
          <t>无需预订</t>
        </is>
      </c>
      <c r="M29" s="53" t="n">
        <v>0.1944444444444444</v>
      </c>
    </row>
    <row r="30" ht="24.95" customHeight="1">
      <c r="A30" s="48" t="n">
        <v>46116</v>
      </c>
      <c r="B30" s="49" t="n"/>
      <c r="C30" s="49" t="n"/>
      <c r="D30" s="26" t="inlineStr">
        <is>
          <t>游览</t>
        </is>
      </c>
      <c r="E30" s="27" t="inlineStr">
        <is>
          <t>文殊院</t>
        </is>
      </c>
      <c r="F30" s="27" t="inlineStr">
        <is>
          <t>9:00 - 17:00，16:30 停止入园</t>
        </is>
      </c>
      <c r="G30" s="50" t="n"/>
      <c r="H30" s="29" t="n"/>
      <c r="I30" s="50" t="n"/>
      <c r="J30" s="52" t="n"/>
      <c r="K30" s="26" t="inlineStr">
        <is>
          <t>无需预订</t>
        </is>
      </c>
      <c r="M30" s="53" t="n">
        <v>0.2013888888888889</v>
      </c>
    </row>
    <row r="31" ht="24.95" customHeight="1">
      <c r="A31" s="60" t="n">
        <v>46116</v>
      </c>
      <c r="B31" s="61" t="n"/>
      <c r="C31" s="61" t="n"/>
      <c r="D31" s="26" t="inlineStr">
        <is>
          <t>交通</t>
        </is>
      </c>
      <c r="E31" s="33" t="inlineStr">
        <is>
          <t>高铁</t>
        </is>
      </c>
      <c r="F31" s="33" t="inlineStr">
        <is>
          <t>成都东 - 沙坪坝</t>
        </is>
      </c>
      <c r="G31" s="62" t="n"/>
      <c r="H31" s="35" t="n"/>
      <c r="I31" s="62" t="n"/>
      <c r="J31" s="63" t="n"/>
      <c r="K31" s="26" t="inlineStr">
        <is>
          <t>待购买</t>
        </is>
      </c>
      <c r="M31" s="53" t="n">
        <v>0.2083333333333333</v>
      </c>
    </row>
    <row r="32" ht="24.95" customHeight="1">
      <c r="A32" s="48" t="n">
        <v>46116</v>
      </c>
      <c r="B32" s="49" t="n"/>
      <c r="C32" s="49" t="n"/>
      <c r="D32" s="26" t="inlineStr">
        <is>
          <t>住宿</t>
        </is>
      </c>
      <c r="E32" s="27" t="inlineStr">
        <is>
          <t>入住</t>
        </is>
      </c>
      <c r="F32" s="27" t="inlineStr">
        <is>
          <t>重庆解放碑步行街城际酒店</t>
        </is>
      </c>
      <c r="G32" s="50" t="n"/>
      <c r="H32" s="29" t="n">
        <v>1</v>
      </c>
      <c r="I32" s="50" t="n">
        <v>612.89</v>
      </c>
      <c r="J32" s="52" t="n"/>
      <c r="K32" s="26" t="inlineStr">
        <is>
          <t>已购买</t>
        </is>
      </c>
      <c r="M32" s="53" t="n">
        <v>0.2152777777777778</v>
      </c>
    </row>
    <row r="33" ht="27" customHeight="1">
      <c r="A33" s="22" t="inlineStr">
        <is>
          <t>4月5日周日   重庆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53" t="n">
        <v>0.2222222222222222</v>
      </c>
    </row>
    <row r="34" ht="24.95" customHeight="1">
      <c r="A34" s="48" t="n">
        <v>46117</v>
      </c>
      <c r="B34" s="49" t="n"/>
      <c r="C34" s="49" t="n"/>
      <c r="D34" s="26" t="inlineStr">
        <is>
          <t>住宿</t>
        </is>
      </c>
      <c r="E34" s="27" t="inlineStr">
        <is>
          <t>酒店</t>
        </is>
      </c>
      <c r="F34" s="27" t="inlineStr">
        <is>
          <t>重庆解放碑步行街城际酒店</t>
        </is>
      </c>
      <c r="G34" s="50" t="n"/>
      <c r="H34" s="29" t="n">
        <v>1</v>
      </c>
      <c r="I34" s="50" t="n">
        <v>572.51</v>
      </c>
      <c r="J34" s="52" t="n"/>
      <c r="K34" s="26" t="inlineStr">
        <is>
          <t>已购买</t>
        </is>
      </c>
      <c r="M34" s="53" t="n">
        <v>0.2291666666666667</v>
      </c>
    </row>
    <row r="35" ht="27" customHeight="1">
      <c r="A35" s="22" t="inlineStr">
        <is>
          <t>4月6日周一  重庆-无锡-苏州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53" t="n">
        <v>0.2361111111111111</v>
      </c>
    </row>
    <row r="36" ht="24.95" customHeight="1">
      <c r="A36" s="48" t="n">
        <v>46118</v>
      </c>
      <c r="B36" s="49" t="n"/>
      <c r="C36" s="49" t="n"/>
      <c r="D36" s="26" t="inlineStr">
        <is>
          <t>住宿</t>
        </is>
      </c>
      <c r="E36" s="27" t="inlineStr">
        <is>
          <t>check out</t>
        </is>
      </c>
      <c r="F36" s="27" t="n"/>
      <c r="G36" s="50" t="n"/>
      <c r="H36" s="29" t="n"/>
      <c r="I36" s="50" t="n"/>
      <c r="J36" s="52" t="n"/>
      <c r="K36" s="26" t="inlineStr">
        <is>
          <t>无需预订</t>
        </is>
      </c>
      <c r="M36" s="53" t="n">
        <v>0.2430555555555556</v>
      </c>
    </row>
    <row r="37" ht="24.95" customHeight="1">
      <c r="A37" s="60" t="n">
        <v>46118</v>
      </c>
      <c r="B37" s="61" t="n"/>
      <c r="C37" s="61" t="n">
        <v>0.6875</v>
      </c>
      <c r="D37" s="26" t="inlineStr">
        <is>
          <t>游览</t>
        </is>
      </c>
      <c r="E37" s="33" t="n"/>
      <c r="F37" s="33" t="n"/>
      <c r="G37" s="62" t="n"/>
      <c r="H37" s="35" t="n"/>
      <c r="I37" s="62" t="n"/>
      <c r="J37" s="63" t="n"/>
      <c r="K37" s="26" t="inlineStr">
        <is>
          <t>无需预订</t>
        </is>
      </c>
      <c r="M37" s="53" t="n">
        <v>0.25</v>
      </c>
    </row>
    <row r="38" ht="24.95" customHeight="1">
      <c r="A38" s="48" t="n">
        <v>46118</v>
      </c>
      <c r="B38" s="49" t="n">
        <v>0.7465277777777778</v>
      </c>
      <c r="C38" s="49" t="n">
        <v>0.8402777777777778</v>
      </c>
      <c r="D38" s="26" t="inlineStr">
        <is>
          <t>交通</t>
        </is>
      </c>
      <c r="E38" s="27" t="inlineStr">
        <is>
          <t>飞机</t>
        </is>
      </c>
      <c r="F38" s="27" t="inlineStr">
        <is>
          <t>江北-硕放</t>
        </is>
      </c>
      <c r="G38" s="50" t="n">
        <v>1411</v>
      </c>
      <c r="H38" s="29" t="n">
        <v>2</v>
      </c>
      <c r="I38" s="50">
        <f>G38*H38</f>
        <v/>
      </c>
      <c r="J38" s="52" t="n"/>
      <c r="K38" s="26" t="inlineStr">
        <is>
          <t>已购买</t>
        </is>
      </c>
      <c r="M38" s="53" t="n">
        <v>0.2569444444444444</v>
      </c>
    </row>
    <row r="39" ht="24.95" customHeight="1">
      <c r="A39" s="60" t="n">
        <v>46118</v>
      </c>
      <c r="B39" s="61" t="n"/>
      <c r="C39" s="61" t="n"/>
      <c r="D39" s="26" t="inlineStr">
        <is>
          <t>交通</t>
        </is>
      </c>
      <c r="E39" s="33" t="inlineStr">
        <is>
          <t>高铁</t>
        </is>
      </c>
      <c r="F39" s="33" t="n"/>
      <c r="G39" s="62" t="n"/>
      <c r="H39" s="35" t="n"/>
      <c r="I39" s="62" t="n"/>
      <c r="J39" s="63" t="n">
        <v>46104</v>
      </c>
      <c r="K39" s="26" t="inlineStr">
        <is>
          <t>待预约</t>
        </is>
      </c>
      <c r="M39" s="53" t="n">
        <v>0.2638888888888889</v>
      </c>
    </row>
    <row r="40" ht="16.5" customHeight="1">
      <c r="D40" s="37" t="n"/>
      <c r="K40" s="37" t="n"/>
      <c r="M40" s="53" t="n">
        <v>0.2708333333333333</v>
      </c>
    </row>
    <row r="41" ht="16.5" customHeight="1">
      <c r="D41" s="37" t="n"/>
      <c r="K41" s="37" t="n"/>
      <c r="M41" s="53" t="n">
        <v>0.2777777777777778</v>
      </c>
    </row>
    <row r="42" ht="16.5" customHeight="1">
      <c r="D42" s="37" t="n"/>
      <c r="K42" s="37" t="n"/>
      <c r="M42" s="53" t="n">
        <v>0.2847222222222222</v>
      </c>
    </row>
    <row r="43" ht="16.5" customHeight="1">
      <c r="D43" s="37" t="n"/>
      <c r="K43" s="37" t="n"/>
      <c r="M43" s="53" t="n">
        <v>0.2916666666666667</v>
      </c>
    </row>
    <row r="44" ht="16.5" customHeight="1">
      <c r="D44" s="37" t="n"/>
      <c r="K44" s="37" t="n"/>
      <c r="M44" s="53" t="n">
        <v>0.2986111111111111</v>
      </c>
    </row>
    <row r="45" ht="16.5" customHeight="1">
      <c r="D45" s="37" t="n"/>
      <c r="K45" s="37" t="n"/>
      <c r="M45" s="53" t="n">
        <v>0.3055555555555556</v>
      </c>
    </row>
    <row r="46" ht="16.5" customHeight="1">
      <c r="D46" s="37" t="n"/>
      <c r="K46" s="37" t="n"/>
      <c r="M46" s="53" t="n">
        <v>0.3125</v>
      </c>
    </row>
    <row r="47" ht="16.5" customHeight="1">
      <c r="D47" s="37" t="n"/>
      <c r="K47" s="37" t="n"/>
      <c r="M47" s="53" t="n">
        <v>0.3194444444444444</v>
      </c>
    </row>
    <row r="48" ht="16.5" customHeight="1">
      <c r="D48" s="37" t="n"/>
      <c r="K48" s="37" t="n"/>
      <c r="M48" s="53" t="n">
        <v>0.3263888888888889</v>
      </c>
    </row>
    <row r="49" ht="16.5" customHeight="1">
      <c r="D49" s="37" t="n"/>
      <c r="K49" s="37" t="n"/>
      <c r="M49" s="53" t="n">
        <v>0.3333333333333333</v>
      </c>
    </row>
    <row r="50" ht="16.5" customHeight="1">
      <c r="D50" s="37" t="n"/>
      <c r="K50" s="37" t="n"/>
      <c r="M50" s="53" t="n">
        <v>0.3402777777777778</v>
      </c>
    </row>
    <row r="51" ht="16.5" customHeight="1">
      <c r="D51" s="37" t="n"/>
      <c r="K51" s="37" t="n"/>
      <c r="M51" s="53" t="n">
        <v>0.3472222222222222</v>
      </c>
    </row>
    <row r="52" ht="16.5" customHeight="1">
      <c r="D52" s="37" t="n"/>
      <c r="K52" s="37" t="n"/>
      <c r="M52" s="53" t="n">
        <v>0.3541666666666667</v>
      </c>
    </row>
    <row r="53" ht="16.5" customHeight="1">
      <c r="D53" s="37" t="n"/>
      <c r="K53" s="37" t="n"/>
      <c r="M53" s="53" t="n">
        <v>0.3611111111111111</v>
      </c>
    </row>
    <row r="54" ht="16.5" customHeight="1">
      <c r="D54" s="37" t="n"/>
      <c r="K54" s="37" t="n"/>
      <c r="M54" s="53" t="n">
        <v>0.3680555555555556</v>
      </c>
    </row>
    <row r="55" ht="16.5" customHeight="1">
      <c r="D55" s="37" t="n"/>
      <c r="K55" s="37" t="n"/>
      <c r="M55" s="53" t="n">
        <v>0.375</v>
      </c>
    </row>
    <row r="56" ht="16.5" customHeight="1">
      <c r="D56" s="37" t="n"/>
      <c r="K56" s="37" t="n"/>
      <c r="M56" s="53" t="n">
        <v>0.3819444444444444</v>
      </c>
    </row>
    <row r="57" ht="16.5" customHeight="1">
      <c r="D57" s="37" t="n"/>
      <c r="K57" s="37" t="n"/>
      <c r="M57" s="53" t="n">
        <v>0.3888888888888889</v>
      </c>
    </row>
    <row r="58" ht="16.5" customHeight="1">
      <c r="D58" s="37" t="n"/>
      <c r="K58" s="37" t="n"/>
      <c r="M58" s="53" t="n">
        <v>0.3958333333333333</v>
      </c>
    </row>
    <row r="59" ht="16.5" customHeight="1">
      <c r="D59" s="37" t="n"/>
      <c r="K59" s="37" t="n"/>
      <c r="M59" s="53" t="n">
        <v>0.4027777777777778</v>
      </c>
    </row>
    <row r="60" ht="16.5" customHeight="1">
      <c r="D60" s="37" t="n"/>
      <c r="K60" s="37" t="n"/>
      <c r="M60" s="53" t="n">
        <v>0.4097222222222222</v>
      </c>
    </row>
    <row r="61" ht="16.5" customHeight="1">
      <c r="D61" s="37" t="n"/>
      <c r="K61" s="37" t="n"/>
      <c r="M61" s="53" t="n">
        <v>0.4166666666666667</v>
      </c>
    </row>
    <row r="62" ht="16.5" customHeight="1">
      <c r="D62" s="37" t="n"/>
      <c r="K62" s="37" t="n"/>
      <c r="M62" s="53" t="n">
        <v>0.4236111111111111</v>
      </c>
    </row>
    <row r="63" ht="16.5" customHeight="1">
      <c r="D63" s="37" t="n"/>
      <c r="K63" s="37" t="n"/>
      <c r="M63" s="53" t="n">
        <v>0.4305555555555556</v>
      </c>
    </row>
    <row r="64" ht="16.5" customHeight="1">
      <c r="D64" s="37" t="n"/>
      <c r="K64" s="37" t="n"/>
      <c r="M64" s="53" t="n">
        <v>0.4375</v>
      </c>
    </row>
    <row r="65" ht="16.5" customHeight="1">
      <c r="D65" s="37" t="n"/>
      <c r="K65" s="37" t="n"/>
      <c r="M65" s="53" t="n">
        <v>0.4444444444444444</v>
      </c>
    </row>
    <row r="66" ht="16.5" customHeight="1">
      <c r="D66" s="37" t="n"/>
      <c r="K66" s="37" t="n"/>
      <c r="M66" s="53" t="n">
        <v>0.4513888888888889</v>
      </c>
    </row>
    <row r="67" ht="16.5" customHeight="1">
      <c r="D67" s="37" t="n"/>
      <c r="K67" s="37" t="n"/>
      <c r="M67" s="53" t="n">
        <v>0.4583333333333333</v>
      </c>
    </row>
    <row r="68" ht="16.5" customHeight="1">
      <c r="D68" s="37" t="n"/>
      <c r="K68" s="37" t="n"/>
      <c r="M68" s="53" t="n">
        <v>0.4652777777777778</v>
      </c>
    </row>
    <row r="69" ht="16.5" customHeight="1">
      <c r="D69" s="37" t="n"/>
      <c r="K69" s="37" t="n"/>
      <c r="M69" s="53" t="n">
        <v>0.4722222222222222</v>
      </c>
    </row>
    <row r="70" ht="16.5" customHeight="1">
      <c r="D70" s="37" t="n"/>
      <c r="K70" s="37" t="n"/>
      <c r="M70" s="53" t="n">
        <v>0.4791666666666667</v>
      </c>
    </row>
    <row r="71" ht="16.5" customHeight="1">
      <c r="D71" s="37" t="n"/>
      <c r="K71" s="37" t="n"/>
      <c r="M71" s="53" t="n">
        <v>0.4861111111111111</v>
      </c>
    </row>
    <row r="72" ht="16.5" customHeight="1">
      <c r="D72" s="37" t="n"/>
      <c r="K72" s="37" t="n"/>
      <c r="M72" s="53" t="n">
        <v>0.4930555555555556</v>
      </c>
    </row>
    <row r="73" ht="16.5" customHeight="1">
      <c r="D73" s="37" t="n"/>
      <c r="K73" s="37" t="n"/>
      <c r="M73" s="53" t="n">
        <v>0.5</v>
      </c>
    </row>
    <row r="74" ht="16.5" customHeight="1">
      <c r="D74" s="37" t="n"/>
      <c r="K74" s="37" t="n"/>
      <c r="M74" s="53" t="n">
        <v>0.5069444444444444</v>
      </c>
    </row>
    <row r="75" ht="16.5" customHeight="1">
      <c r="D75" s="37" t="n"/>
      <c r="K75" s="37" t="n"/>
      <c r="M75" s="53" t="n">
        <v>0.5138888888888888</v>
      </c>
    </row>
    <row r="76" ht="16.5" customHeight="1">
      <c r="D76" s="37" t="n"/>
      <c r="K76" s="37" t="n"/>
      <c r="M76" s="53" t="n">
        <v>0.5208333333333334</v>
      </c>
    </row>
    <row r="77" ht="16.5" customHeight="1">
      <c r="D77" s="37" t="n"/>
      <c r="K77" s="37" t="n"/>
      <c r="M77" s="53" t="n">
        <v>0.5277777777777778</v>
      </c>
    </row>
    <row r="78" ht="16.5" customHeight="1">
      <c r="D78" s="37" t="n"/>
      <c r="K78" s="37" t="n"/>
      <c r="M78" s="53" t="n">
        <v>0.5347222222222222</v>
      </c>
    </row>
    <row r="79" ht="16.5" customHeight="1">
      <c r="D79" s="37" t="n"/>
      <c r="K79" s="37" t="n"/>
      <c r="M79" s="53" t="n">
        <v>0.5416666666666666</v>
      </c>
    </row>
    <row r="80" ht="16.5" customHeight="1">
      <c r="D80" s="37" t="n"/>
      <c r="K80" s="37" t="n"/>
      <c r="M80" s="53" t="n">
        <v>0.5486111111111112</v>
      </c>
    </row>
    <row r="81" ht="16.5" customHeight="1">
      <c r="D81" s="37" t="n"/>
      <c r="K81" s="37" t="n"/>
      <c r="M81" s="53" t="n">
        <v>0.5555555555555556</v>
      </c>
    </row>
    <row r="82" ht="16.5" customHeight="1">
      <c r="D82" s="37" t="n"/>
      <c r="K82" s="37" t="n"/>
      <c r="M82" s="53" t="n">
        <v>0.5625</v>
      </c>
    </row>
    <row r="83" ht="16.5" customHeight="1">
      <c r="D83" s="37" t="n"/>
      <c r="K83" s="37" t="n"/>
      <c r="M83" s="53" t="n">
        <v>0.5694444444444444</v>
      </c>
    </row>
    <row r="84" ht="16.5" customHeight="1">
      <c r="D84" s="37" t="n"/>
      <c r="K84" s="37" t="n"/>
      <c r="M84" s="53" t="n">
        <v>0.5763888888888888</v>
      </c>
    </row>
    <row r="85" ht="16.5" customHeight="1">
      <c r="D85" s="37" t="n"/>
      <c r="K85" s="37" t="n"/>
      <c r="M85" s="53" t="n">
        <v>0.5833333333333334</v>
      </c>
    </row>
    <row r="86" ht="16.5" customHeight="1">
      <c r="D86" s="37" t="n"/>
      <c r="K86" s="37" t="n"/>
      <c r="M86" s="53" t="n">
        <v>0.5902777777777778</v>
      </c>
    </row>
    <row r="87" ht="16.5" customHeight="1">
      <c r="D87" s="37" t="n"/>
      <c r="K87" s="37" t="n"/>
      <c r="M87" s="53" t="n">
        <v>0.5972222222222222</v>
      </c>
    </row>
    <row r="88" ht="16.5" customHeight="1">
      <c r="D88" s="37" t="n"/>
      <c r="K88" s="37" t="n"/>
      <c r="M88" s="53" t="n">
        <v>0.6041666666666666</v>
      </c>
    </row>
    <row r="89" ht="16.5" customHeight="1">
      <c r="D89" s="37" t="n"/>
      <c r="K89" s="37" t="n"/>
      <c r="M89" s="53" t="n">
        <v>0.6111111111111112</v>
      </c>
    </row>
    <row r="90" ht="16.5" customHeight="1">
      <c r="D90" s="37" t="n"/>
      <c r="K90" s="37" t="n"/>
      <c r="M90" s="53" t="n">
        <v>0.6180555555555556</v>
      </c>
    </row>
    <row r="91" ht="16.5" customHeight="1">
      <c r="D91" s="37" t="n"/>
      <c r="K91" s="37" t="n"/>
      <c r="M91" s="53" t="n">
        <v>0.625</v>
      </c>
    </row>
    <row r="92" ht="16.5" customHeight="1">
      <c r="D92" s="37" t="n"/>
      <c r="K92" s="37" t="n"/>
      <c r="M92" s="53" t="n">
        <v>0.6319444444444444</v>
      </c>
    </row>
    <row r="93" ht="16.5" customHeight="1">
      <c r="D93" s="37" t="n"/>
      <c r="K93" s="37" t="n"/>
      <c r="M93" s="53" t="n">
        <v>0.6388888888888888</v>
      </c>
    </row>
    <row r="94" ht="16.5" customHeight="1">
      <c r="D94" s="37" t="n"/>
      <c r="K94" s="37" t="n"/>
      <c r="M94" s="53" t="n">
        <v>0.6458333333333334</v>
      </c>
    </row>
    <row r="95" ht="16.5" customHeight="1">
      <c r="D95" s="37" t="n"/>
      <c r="K95" s="37" t="n"/>
      <c r="M95" s="53" t="n">
        <v>0.6527777777777778</v>
      </c>
    </row>
    <row r="96" ht="16.5" customHeight="1">
      <c r="D96" s="37" t="n"/>
      <c r="K96" s="37" t="n"/>
      <c r="M96" s="53" t="n">
        <v>0.6597222222222222</v>
      </c>
    </row>
    <row r="97" ht="16.5" customHeight="1">
      <c r="D97" s="37" t="n"/>
      <c r="K97" s="37" t="n"/>
      <c r="M97" s="53" t="n">
        <v>0.6666666666666666</v>
      </c>
    </row>
    <row r="98" ht="16.5" customHeight="1">
      <c r="D98" s="37" t="n"/>
      <c r="K98" s="37" t="n"/>
      <c r="M98" s="53" t="n">
        <v>0.6736111111111112</v>
      </c>
    </row>
    <row r="99" ht="16.5" customHeight="1">
      <c r="D99" s="37" t="n"/>
      <c r="K99" s="37" t="n"/>
      <c r="M99" s="53" t="n">
        <v>0.6805555555555556</v>
      </c>
    </row>
    <row r="100" ht="16.5" customHeight="1">
      <c r="D100" s="37" t="n"/>
      <c r="K100" s="37" t="n"/>
      <c r="M100" s="53" t="n">
        <v>0.6875</v>
      </c>
    </row>
    <row r="101" ht="16.5" customHeight="1">
      <c r="D101" s="37" t="n"/>
      <c r="K101" s="37" t="n"/>
      <c r="M101" s="53" t="n">
        <v>0.6944444444444444</v>
      </c>
    </row>
    <row r="102" ht="16.5" customHeight="1">
      <c r="D102" s="37" t="n"/>
      <c r="K102" s="37" t="n"/>
      <c r="M102" s="53" t="n">
        <v>0.7013888888888888</v>
      </c>
    </row>
    <row r="103" ht="16.5" customHeight="1">
      <c r="D103" s="37" t="n"/>
      <c r="K103" s="37" t="n"/>
      <c r="M103" s="53" t="n">
        <v>0.7083333333333334</v>
      </c>
    </row>
    <row r="104" ht="16.5" customHeight="1">
      <c r="D104" s="37" t="n"/>
      <c r="K104" s="37" t="n"/>
      <c r="M104" s="53" t="n">
        <v>0.7152777777777778</v>
      </c>
    </row>
    <row r="105" ht="16.5" customHeight="1">
      <c r="D105" s="37" t="n"/>
      <c r="K105" s="37" t="n"/>
      <c r="M105" s="53" t="n">
        <v>0.7222222222222222</v>
      </c>
    </row>
    <row r="106" ht="16.5" customHeight="1">
      <c r="D106" s="37" t="n"/>
      <c r="K106" s="37" t="n"/>
      <c r="M106" s="53" t="n">
        <v>0.7291666666666666</v>
      </c>
    </row>
    <row r="107" ht="16.5" customHeight="1">
      <c r="D107" s="37" t="n"/>
      <c r="K107" s="37" t="n"/>
      <c r="M107" s="53" t="n">
        <v>0.7361111111111112</v>
      </c>
    </row>
    <row r="108" ht="16.5" customHeight="1">
      <c r="D108" s="37" t="n"/>
      <c r="K108" s="37" t="n"/>
      <c r="M108" s="53" t="n">
        <v>0.7430555555555556</v>
      </c>
    </row>
    <row r="109" ht="16.5" customHeight="1">
      <c r="D109" s="37" t="n"/>
      <c r="K109" s="37" t="n"/>
      <c r="M109" s="53" t="n">
        <v>0.75</v>
      </c>
    </row>
    <row r="110" ht="16.5" customHeight="1">
      <c r="D110" s="37" t="n"/>
      <c r="K110" s="37" t="n"/>
      <c r="M110" s="53" t="n">
        <v>0.7569444444444444</v>
      </c>
    </row>
    <row r="111" ht="16.5" customHeight="1">
      <c r="D111" s="37" t="n"/>
      <c r="K111" s="37" t="n"/>
      <c r="M111" s="53" t="n">
        <v>0.7638888888888888</v>
      </c>
    </row>
    <row r="112" ht="16.5" customHeight="1">
      <c r="D112" s="37" t="n"/>
      <c r="K112" s="37" t="n"/>
      <c r="M112" s="53" t="n">
        <v>0.7708333333333334</v>
      </c>
    </row>
    <row r="113" ht="16.5" customHeight="1">
      <c r="D113" s="37" t="n"/>
      <c r="K113" s="37" t="n"/>
      <c r="M113" s="53" t="n">
        <v>0.7777777777777778</v>
      </c>
    </row>
    <row r="114" ht="16.5" customHeight="1">
      <c r="D114" s="37" t="n"/>
      <c r="K114" s="37" t="n"/>
      <c r="M114" s="53" t="n">
        <v>0.7847222222222222</v>
      </c>
    </row>
    <row r="115" ht="16.5" customHeight="1">
      <c r="D115" s="37" t="n"/>
      <c r="K115" s="37" t="n"/>
      <c r="M115" s="53" t="n">
        <v>0.7916666666666666</v>
      </c>
    </row>
    <row r="116" ht="16.5" customHeight="1">
      <c r="D116" s="37" t="n"/>
      <c r="K116" s="37" t="n"/>
      <c r="M116" s="53" t="n">
        <v>0.7986111111111112</v>
      </c>
    </row>
    <row r="117" ht="16.5" customHeight="1">
      <c r="D117" s="37" t="n"/>
      <c r="K117" s="37" t="n"/>
      <c r="M117" s="53" t="n">
        <v>0.8055555555555556</v>
      </c>
    </row>
    <row r="118" ht="16.5" customHeight="1">
      <c r="D118" s="37" t="n"/>
      <c r="K118" s="37" t="n"/>
      <c r="M118" s="53" t="n">
        <v>0.8125</v>
      </c>
    </row>
    <row r="119" ht="16.5" customHeight="1">
      <c r="D119" s="37" t="n"/>
      <c r="K119" s="37" t="n"/>
      <c r="M119" s="53" t="n">
        <v>0.8194444444444444</v>
      </c>
    </row>
    <row r="120" ht="16.5" customHeight="1">
      <c r="D120" s="37" t="n"/>
      <c r="K120" s="37" t="n"/>
      <c r="M120" s="53" t="n">
        <v>0.8263888888888888</v>
      </c>
    </row>
    <row r="121" ht="16.5" customHeight="1">
      <c r="D121" s="37" t="n"/>
      <c r="K121" s="37" t="n"/>
      <c r="M121" s="53" t="n">
        <v>0.8333333333333334</v>
      </c>
    </row>
    <row r="122" ht="16.5" customHeight="1">
      <c r="D122" s="37" t="n"/>
      <c r="K122" s="37" t="n"/>
      <c r="M122" s="53" t="n">
        <v>0.8402777777777778</v>
      </c>
    </row>
    <row r="123" ht="16.5" customHeight="1">
      <c r="D123" s="37" t="n"/>
      <c r="K123" s="37" t="n"/>
      <c r="M123" s="53" t="n">
        <v>0.8472222222222222</v>
      </c>
    </row>
    <row r="124" ht="16.5" customHeight="1">
      <c r="D124" s="37" t="n"/>
      <c r="K124" s="37" t="n"/>
      <c r="M124" s="53" t="n">
        <v>0.8541666666666666</v>
      </c>
    </row>
    <row r="125" ht="16.5" customHeight="1">
      <c r="D125" s="37" t="n"/>
      <c r="K125" s="37" t="n"/>
      <c r="M125" s="53" t="n">
        <v>0.8611111111111112</v>
      </c>
    </row>
    <row r="126" ht="16.5" customHeight="1">
      <c r="D126" s="37" t="n"/>
      <c r="K126" s="37" t="n"/>
      <c r="M126" s="53" t="n">
        <v>0.8680555555555556</v>
      </c>
    </row>
    <row r="127" ht="16.5" customHeight="1">
      <c r="D127" s="37" t="n"/>
      <c r="K127" s="37" t="n"/>
      <c r="M127" s="53" t="n">
        <v>0.875</v>
      </c>
    </row>
    <row r="128" ht="16.5" customHeight="1">
      <c r="D128" s="37" t="n"/>
      <c r="K128" s="37" t="n"/>
      <c r="M128" s="53" t="n">
        <v>0.8819444444444444</v>
      </c>
    </row>
    <row r="129" ht="16.5" customHeight="1">
      <c r="D129" s="37" t="n"/>
      <c r="K129" s="37" t="n"/>
      <c r="M129" s="53" t="n">
        <v>0.8888888888888888</v>
      </c>
    </row>
    <row r="130" ht="16.5" customHeight="1">
      <c r="D130" s="37" t="n"/>
      <c r="K130" s="37" t="n"/>
      <c r="M130" s="53" t="n">
        <v>0.8958333333333334</v>
      </c>
    </row>
    <row r="131" ht="16.5" customHeight="1">
      <c r="D131" s="37" t="n"/>
      <c r="K131" s="37" t="n"/>
      <c r="M131" s="53" t="n">
        <v>0.9027777777777778</v>
      </c>
    </row>
    <row r="132" ht="16.5" customHeight="1">
      <c r="D132" s="37" t="n"/>
      <c r="K132" s="37" t="n"/>
      <c r="M132" s="53" t="n">
        <v>0.9097222222222222</v>
      </c>
    </row>
    <row r="133" ht="16.5" customHeight="1">
      <c r="D133" s="37" t="n"/>
      <c r="K133" s="37" t="n"/>
      <c r="M133" s="53" t="n">
        <v>0.9166666666666666</v>
      </c>
    </row>
    <row r="134" ht="16.5" customHeight="1">
      <c r="D134" s="37" t="n"/>
      <c r="K134" s="37" t="n"/>
      <c r="M134" s="53" t="n">
        <v>0.9236111111111112</v>
      </c>
    </row>
    <row r="135" ht="16.5" customHeight="1">
      <c r="D135" s="37" t="n"/>
      <c r="K135" s="37" t="n"/>
      <c r="M135" s="53" t="n">
        <v>0.9305555555555556</v>
      </c>
    </row>
    <row r="136" ht="16.5" customHeight="1">
      <c r="D136" s="37" t="n"/>
      <c r="K136" s="37" t="n"/>
      <c r="M136" s="53" t="n">
        <v>0.9375</v>
      </c>
    </row>
    <row r="137" ht="16.5" customHeight="1">
      <c r="D137" s="37" t="n"/>
      <c r="K137" s="37" t="n"/>
      <c r="M137" s="53" t="n">
        <v>0.9444444444444444</v>
      </c>
    </row>
    <row r="138" ht="16.5" customHeight="1">
      <c r="D138" s="37" t="n"/>
      <c r="K138" s="37" t="n"/>
      <c r="M138" s="53" t="n">
        <v>0.9513888888888888</v>
      </c>
    </row>
    <row r="139" ht="16.5" customHeight="1">
      <c r="D139" s="37" t="n"/>
      <c r="K139" s="37" t="n"/>
      <c r="M139" s="53" t="n">
        <v>0.9583333333333334</v>
      </c>
    </row>
    <row r="140" ht="16.5" customHeight="1">
      <c r="D140" s="37" t="n"/>
      <c r="K140" s="37" t="n"/>
      <c r="M140" s="53" t="n">
        <v>0.9652777777777778</v>
      </c>
    </row>
    <row r="141" ht="16.5" customHeight="1">
      <c r="D141" s="37" t="n"/>
      <c r="K141" s="37" t="n"/>
      <c r="M141" s="53" t="n">
        <v>0.9722222222222222</v>
      </c>
    </row>
    <row r="142" ht="16.5" customHeight="1">
      <c r="D142" s="37" t="n"/>
      <c r="K142" s="37" t="n"/>
      <c r="M142" s="53" t="n">
        <v>0.9791666666666666</v>
      </c>
    </row>
    <row r="143" ht="16.5" customHeight="1">
      <c r="D143" s="37" t="n"/>
      <c r="K143" s="37" t="n"/>
      <c r="M143" s="53" t="n">
        <v>0.9861111111111112</v>
      </c>
    </row>
    <row r="144" ht="16.5" customHeight="1">
      <c r="D144" s="37" t="n"/>
      <c r="K144" s="37" t="n"/>
      <c r="M144" s="53" t="n">
        <v>0.9930555555555556</v>
      </c>
    </row>
    <row r="145" ht="16.5" customHeight="1">
      <c r="D145" s="37" t="n"/>
      <c r="K145" s="37" t="n"/>
    </row>
    <row r="146" ht="16.5" customHeight="1">
      <c r="D146" s="37" t="n"/>
      <c r="K146" s="37" t="n"/>
    </row>
    <row r="147" ht="16.5" customHeight="1">
      <c r="D147" s="37" t="n"/>
      <c r="K147" s="37" t="n"/>
    </row>
    <row r="148" ht="16.5" customHeight="1">
      <c r="D148" s="37" t="n"/>
      <c r="K148" s="37" t="n"/>
    </row>
    <row r="149" ht="16.5" customHeight="1">
      <c r="D149" s="37" t="n"/>
      <c r="K149" s="37" t="n"/>
    </row>
    <row r="150" ht="16.5" customHeight="1">
      <c r="D150" s="37" t="n"/>
      <c r="K150" s="37" t="n"/>
    </row>
    <row r="151" ht="16.5" customHeight="1">
      <c r="D151" s="37" t="n"/>
      <c r="K151" s="37" t="n"/>
    </row>
    <row r="152" ht="16.5" customHeight="1">
      <c r="D152" s="37" t="n"/>
      <c r="K152" s="37" t="n"/>
    </row>
    <row r="153" ht="16.5" customHeight="1">
      <c r="D153" s="37" t="n"/>
      <c r="K153" s="37" t="n"/>
    </row>
    <row r="154" ht="16.5" customHeight="1">
      <c r="D154" s="37" t="n"/>
      <c r="K154" s="37" t="n"/>
    </row>
    <row r="155" ht="16.5" customHeight="1">
      <c r="D155" s="37" t="n"/>
      <c r="K155" s="37" t="n"/>
    </row>
    <row r="156" ht="16.5" customHeight="1">
      <c r="D156" s="37" t="n"/>
      <c r="K156" s="37" t="n"/>
    </row>
    <row r="157" ht="16.5" customHeight="1">
      <c r="D157" s="37" t="n"/>
      <c r="K157" s="37" t="n"/>
    </row>
    <row r="158" ht="16.5" customHeight="1">
      <c r="D158" s="37" t="n"/>
      <c r="K158" s="37" t="n"/>
    </row>
    <row r="159" ht="16.5" customHeight="1">
      <c r="D159" s="37" t="n"/>
      <c r="K159" s="37" t="n"/>
    </row>
    <row r="160" ht="16.5" customHeight="1">
      <c r="D160" s="37" t="n"/>
      <c r="K160" s="37" t="n"/>
    </row>
    <row r="161" ht="16.5" customHeight="1">
      <c r="D161" s="37" t="n"/>
      <c r="K161" s="37" t="n"/>
    </row>
    <row r="162" ht="16.5" customHeight="1">
      <c r="D162" s="37" t="n"/>
      <c r="K162" s="37" t="n"/>
    </row>
    <row r="163" ht="16.5" customHeight="1">
      <c r="D163" s="37" t="n"/>
      <c r="K163" s="37" t="n"/>
    </row>
    <row r="164" ht="16.5" customHeight="1">
      <c r="D164" s="37" t="n"/>
      <c r="K164" s="37" t="n"/>
    </row>
    <row r="165" ht="16.5" customHeight="1">
      <c r="D165" s="37" t="n"/>
      <c r="K165" s="37" t="n"/>
    </row>
    <row r="166" ht="16.5" customHeight="1">
      <c r="D166" s="37" t="n"/>
      <c r="K166" s="37" t="n"/>
    </row>
    <row r="167" ht="16.5" customHeight="1">
      <c r="D167" s="37" t="n"/>
      <c r="K167" s="37" t="n"/>
    </row>
    <row r="168" ht="16.5" customHeight="1">
      <c r="D168" s="37" t="n"/>
      <c r="K168" s="37" t="n"/>
    </row>
    <row r="169" ht="16.5" customHeight="1">
      <c r="D169" s="37" t="n"/>
      <c r="K169" s="37" t="n"/>
    </row>
    <row r="170" ht="16.5" customHeight="1">
      <c r="D170" s="37" t="n"/>
      <c r="K170" s="37" t="n"/>
    </row>
    <row r="171" ht="16.5" customHeight="1">
      <c r="D171" s="37" t="n"/>
      <c r="K171" s="37" t="n"/>
    </row>
    <row r="172" ht="16.5" customHeight="1">
      <c r="D172" s="37" t="n"/>
      <c r="K172" s="37" t="n"/>
    </row>
    <row r="173" ht="16.5" customHeight="1">
      <c r="D173" s="37" t="n"/>
      <c r="K173" s="37" t="n"/>
    </row>
    <row r="174" ht="16.5" customHeight="1">
      <c r="D174" s="37" t="n"/>
      <c r="K174" s="37" t="n"/>
    </row>
    <row r="175" ht="16.5" customHeight="1">
      <c r="D175" s="37" t="n"/>
      <c r="K175" s="37" t="n"/>
    </row>
    <row r="176" ht="16.5" customHeight="1">
      <c r="D176" s="37" t="n"/>
      <c r="K176" s="37" t="n"/>
    </row>
    <row r="177" ht="16.5" customHeight="1">
      <c r="D177" s="37" t="n"/>
      <c r="K177" s="37" t="n"/>
    </row>
    <row r="178" ht="16.5" customHeight="1">
      <c r="D178" s="37" t="n"/>
      <c r="K178" s="37" t="n"/>
    </row>
    <row r="179" ht="16.5" customHeight="1">
      <c r="D179" s="37" t="n"/>
      <c r="K179" s="37" t="n"/>
    </row>
    <row r="180" ht="16.5" customHeight="1">
      <c r="D180" s="37" t="n"/>
      <c r="K180" s="37" t="n"/>
    </row>
    <row r="181" ht="16.5" customHeight="1">
      <c r="D181" s="37" t="n"/>
      <c r="K181" s="37" t="n"/>
    </row>
    <row r="182" ht="16.5" customHeight="1">
      <c r="D182" s="37" t="n"/>
      <c r="K182" s="37" t="n"/>
    </row>
    <row r="183" ht="16.5" customHeight="1">
      <c r="D183" s="37" t="n"/>
      <c r="K183" s="37" t="n"/>
    </row>
    <row r="184" ht="16.5" customHeight="1">
      <c r="D184" s="37" t="n"/>
      <c r="K184" s="37" t="n"/>
    </row>
    <row r="185" ht="16.5" customHeight="1">
      <c r="D185" s="37" t="n"/>
      <c r="K185" s="37" t="n"/>
    </row>
    <row r="186" ht="16.5" customHeight="1">
      <c r="D186" s="37" t="n"/>
      <c r="K186" s="37" t="n"/>
    </row>
    <row r="187" ht="16.5" customHeight="1">
      <c r="D187" s="37" t="n"/>
      <c r="K187" s="37" t="n"/>
    </row>
    <row r="188" ht="16.5" customHeight="1">
      <c r="D188" s="37" t="n"/>
      <c r="K188" s="37" t="n"/>
    </row>
    <row r="189" ht="16.5" customHeight="1">
      <c r="D189" s="37" t="n"/>
      <c r="K189" s="37" t="n"/>
    </row>
    <row r="190" ht="16.5" customHeight="1">
      <c r="D190" s="37" t="n"/>
      <c r="K190" s="37" t="n"/>
    </row>
    <row r="191" ht="16.5" customHeight="1">
      <c r="D191" s="37" t="n"/>
      <c r="K191" s="37" t="n"/>
    </row>
    <row r="192" ht="16.5" customHeight="1">
      <c r="D192" s="37" t="n"/>
      <c r="K192" s="37" t="n"/>
    </row>
    <row r="193" ht="16.5" customHeight="1">
      <c r="D193" s="37" t="n"/>
      <c r="K193" s="37" t="n"/>
    </row>
    <row r="194" ht="16.5" customHeight="1">
      <c r="D194" s="37" t="n"/>
      <c r="K194" s="37" t="n"/>
    </row>
    <row r="195" ht="16.5" customHeight="1">
      <c r="D195" s="37" t="n"/>
      <c r="K195" s="37" t="n"/>
    </row>
    <row r="196" ht="16.5" customHeight="1">
      <c r="D196" s="37" t="n"/>
      <c r="K196" s="37" t="n"/>
    </row>
    <row r="197" ht="16.5" customHeight="1">
      <c r="D197" s="37" t="n"/>
      <c r="K197" s="37" t="n"/>
    </row>
    <row r="198" ht="16.5" customHeight="1">
      <c r="D198" s="37" t="n"/>
      <c r="K198" s="37" t="n"/>
    </row>
    <row r="199" ht="16.5" customHeight="1">
      <c r="D199" s="37" t="n"/>
      <c r="K199" s="37" t="n"/>
    </row>
    <row r="200" ht="16.5" customHeight="1">
      <c r="D200" s="37" t="n"/>
      <c r="K200" s="37" t="n"/>
    </row>
  </sheetData>
  <autoFilter ref="A4:K39"/>
  <mergeCells count="7">
    <mergeCell ref="A10:L10"/>
    <mergeCell ref="A33:L33"/>
    <mergeCell ref="A1:L1"/>
    <mergeCell ref="A5:L5"/>
    <mergeCell ref="A22:L22"/>
    <mergeCell ref="A3:L3"/>
    <mergeCell ref="A35:L35"/>
  </mergeCells>
  <conditionalFormatting sqref="D6:D200">
    <cfRule type="cellIs" priority="1" operator="equal" dxfId="6" stopIfTrue="1">
      <formula>"交通"</formula>
    </cfRule>
    <cfRule type="cellIs" priority="2" operator="equal" dxfId="5" stopIfTrue="1">
      <formula>"住宿"</formula>
    </cfRule>
    <cfRule type="cellIs" priority="3" operator="equal" dxfId="4" stopIfTrue="1">
      <formula>"游览"</formula>
    </cfRule>
    <cfRule type="cellIs" priority="4" operator="equal" dxfId="3" stopIfTrue="1">
      <formula>"餐饮"</formula>
    </cfRule>
    <cfRule type="cellIs" priority="5" operator="equal" dxfId="2" stopIfTrue="1">
      <formula>"日常"</formula>
    </cfRule>
    <cfRule type="cellIs" priority="6" operator="equal" dxfId="1" stopIfTrue="1">
      <formula>"购物"</formula>
    </cfRule>
    <cfRule type="cellIs" priority="7" operator="equal" dxfId="0" stopIfTrue="1">
      <formula>"其他"</formula>
    </cfRule>
  </conditionalFormatting>
  <conditionalFormatting sqref="K6:K200">
    <cfRule type="cellIs" priority="8" operator="equal" dxfId="8" stopIfTrue="1">
      <formula>"待购买"</formula>
    </cfRule>
    <cfRule type="cellIs" priority="9" operator="equal" dxfId="8" stopIfTrue="1">
      <formula>"待预约"</formula>
    </cfRule>
    <cfRule type="cellIs" priority="10" operator="equal" dxfId="4" stopIfTrue="1">
      <formula>"已购买"</formula>
    </cfRule>
    <cfRule type="cellIs" priority="11" operator="equal" dxfId="4" stopIfTrue="1">
      <formula>"已预约"</formula>
    </cfRule>
    <cfRule type="cellIs" priority="12" operator="equal" dxfId="4" stopIfTrue="1">
      <formula>"已完成"</formula>
    </cfRule>
    <cfRule type="cellIs" priority="13" operator="equal" dxfId="7" stopIfTrue="1">
      <formula>"无需预订"</formula>
    </cfRule>
    <cfRule type="cellIs" priority="14" operator="equal" dxfId="2" stopIfTrue="1">
      <formula>"已取消"</formula>
    </cfRule>
  </conditionalFormatting>
  <dataValidations count="3">
    <dataValidation sqref="D5:D39" showDropDown="0" showInputMessage="0" showErrorMessage="0" allowBlank="1" type="list">
      <formula1>"交通,住宿,游览,餐饮,日常,购物,其他"</formula1>
    </dataValidation>
    <dataValidation sqref="K5:K39" showDropDown="0" showInputMessage="0" showErrorMessage="0" allowBlank="1" type="list">
      <formula1>"无需预订,待购买,待预约,已购买,已预约,已完成,已取消"</formula1>
    </dataValidation>
    <dataValidation sqref="B6:C200" showDropDown="0" showInputMessage="1" showErrorMessage="0" allowBlank="1" promptTitle="选择时间" prompt="可从列表选择 10 分钟间隔时间，也可直接输入精确时间。" type="list">
      <formula1>$M$1:$M$144</formula1>
    </dataValidation>
  </dataValidations>
  <pageMargins left="0.75" right="0.75" top="1" bottom="1" header="0.5" footer="0.5"/>
  <pageSetup orientation="landscape" paperSize="1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ColWidth="9" defaultRowHeight="14.25"/>
  <cols>
    <col width="5.375" customWidth="1" min="1" max="2"/>
    <col width="8" customWidth="1" min="3" max="3"/>
    <col width="23.5" customWidth="1" min="4" max="4"/>
    <col width="7.625" customWidth="1" min="5" max="5"/>
    <col width="4.75" customWidth="1" min="6" max="6"/>
    <col width="8.875" customWidth="1" min="7" max="7"/>
    <col width="18" customWidth="1" min="8" max="8"/>
  </cols>
  <sheetData>
    <row r="1" ht="18" customHeight="1">
      <c r="A1" s="2" t="inlineStr">
        <is>
          <t>开始</t>
        </is>
      </c>
      <c r="B1" s="3" t="inlineStr">
        <is>
          <t>结束</t>
        </is>
      </c>
      <c r="C1" s="3" t="inlineStr">
        <is>
          <t>项目</t>
        </is>
      </c>
      <c r="D1" s="3" t="inlineStr">
        <is>
          <t>备注</t>
        </is>
      </c>
      <c r="E1" s="3" t="inlineStr">
        <is>
          <t>单价</t>
        </is>
      </c>
      <c r="F1" s="3" t="inlineStr">
        <is>
          <t>数量</t>
        </is>
      </c>
      <c r="G1" s="3" t="inlineStr">
        <is>
          <t>消费</t>
        </is>
      </c>
      <c r="H1" s="3" t="inlineStr">
        <is>
          <t>抢票时间</t>
        </is>
      </c>
      <c r="I1" s="3" t="inlineStr">
        <is>
          <t>购买</t>
        </is>
      </c>
      <c r="J1" s="4" t="inlineStr">
        <is>
          <t>总消费</t>
        </is>
      </c>
      <c r="K1" s="5" t="n">
        <v>5132.001</v>
      </c>
      <c r="L1" s="64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</row>
    <row r="2" ht="18" customHeight="1">
      <c r="A2" s="6" t="inlineStr">
        <is>
          <t>9月30日周六   苏州-长沙-酒店---酒店</t>
        </is>
      </c>
      <c r="J2" s="12" t="n"/>
      <c r="K2" s="12" t="n"/>
      <c r="L2" s="65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</row>
    <row r="3">
      <c r="A3" s="57" t="n">
        <v>0.2916666666666667</v>
      </c>
      <c r="B3" s="57" t="n">
        <v>0.3229166666666667</v>
      </c>
      <c r="C3" s="7" t="inlineStr">
        <is>
          <t>起床</t>
        </is>
      </c>
      <c r="D3" s="7" t="n"/>
      <c r="E3" s="7" t="n"/>
      <c r="F3" s="7" t="n"/>
      <c r="G3" s="58" t="n">
        <v>0</v>
      </c>
      <c r="H3" s="56" t="n"/>
      <c r="I3" s="7" t="inlineStr">
        <is>
          <t>☐</t>
        </is>
      </c>
      <c r="J3" s="12" t="n"/>
      <c r="K3" s="12" t="n"/>
      <c r="L3" s="65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>
      <c r="A4" s="57" t="n">
        <v>0.3263888888888889</v>
      </c>
      <c r="B4" s="57" t="n">
        <v>0.34375</v>
      </c>
      <c r="C4" s="7" t="inlineStr">
        <is>
          <t>打车</t>
        </is>
      </c>
      <c r="D4" s="7" t="inlineStr">
        <is>
          <t>菁源-苏州北</t>
        </is>
      </c>
      <c r="E4" s="7" t="n">
        <v>40</v>
      </c>
      <c r="F4" s="7" t="n">
        <v>1</v>
      </c>
      <c r="G4" s="58" t="n">
        <v>40</v>
      </c>
      <c r="H4" s="56" t="n"/>
      <c r="I4" s="7" t="inlineStr">
        <is>
          <t>☐</t>
        </is>
      </c>
      <c r="J4" s="12" t="n"/>
      <c r="K4" s="12" t="n"/>
      <c r="L4" s="65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>
      <c r="A5" s="57" t="n">
        <v>0.36875</v>
      </c>
      <c r="B5" s="57" t="n">
        <v>0.64375</v>
      </c>
      <c r="C5" s="7" t="inlineStr">
        <is>
          <t>高铁</t>
        </is>
      </c>
      <c r="D5" s="7" t="inlineStr">
        <is>
          <t>G586/G1377  苏州北-长沙南</t>
        </is>
      </c>
      <c r="E5" s="7" t="n">
        <v>516</v>
      </c>
      <c r="F5" s="7" t="n">
        <v>2</v>
      </c>
      <c r="G5" s="58" t="n">
        <v>1032</v>
      </c>
      <c r="H5" s="56" t="inlineStr">
        <is>
          <t>9月16日（提前14天）</t>
        </is>
      </c>
      <c r="I5" s="7" t="inlineStr">
        <is>
          <t>☐</t>
        </is>
      </c>
      <c r="J5" s="12" t="n"/>
      <c r="K5" s="12" t="n"/>
      <c r="L5" s="65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>
      <c r="A6" s="57" t="n">
        <v>0.6527777777777778</v>
      </c>
      <c r="B6" s="57" t="n">
        <v>0.6736111111111112</v>
      </c>
      <c r="C6" s="7" t="inlineStr">
        <is>
          <t>地铁</t>
        </is>
      </c>
      <c r="D6" s="7" t="inlineStr">
        <is>
          <t>2好像 长沙南-五一广场</t>
        </is>
      </c>
      <c r="E6" s="7" t="n">
        <v>4</v>
      </c>
      <c r="F6" s="7" t="n">
        <v>2</v>
      </c>
      <c r="G6" s="58" t="n">
        <v>8</v>
      </c>
      <c r="H6" s="56" t="n"/>
      <c r="I6" s="7" t="inlineStr">
        <is>
          <t>☐</t>
        </is>
      </c>
      <c r="J6" s="12" t="n"/>
      <c r="K6" s="12" t="n"/>
      <c r="L6" s="65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>
      <c r="A7" s="57" t="n">
        <v>0.6805555555555556</v>
      </c>
      <c r="B7" s="57" t="n">
        <v>0.7083333333333334</v>
      </c>
      <c r="C7" s="7" t="inlineStr">
        <is>
          <t>酒店入住</t>
        </is>
      </c>
      <c r="D7" s="7" t="inlineStr">
        <is>
          <t>桔子水晶</t>
        </is>
      </c>
      <c r="E7" s="7" t="n">
        <v>778</v>
      </c>
      <c r="F7" s="7" t="n">
        <v>3</v>
      </c>
      <c r="G7" s="58" t="n">
        <v>2334</v>
      </c>
      <c r="H7" s="56" t="inlineStr">
        <is>
          <t>done</t>
        </is>
      </c>
      <c r="I7" s="7" t="inlineStr">
        <is>
          <t>☑</t>
        </is>
      </c>
      <c r="J7" s="12" t="n"/>
      <c r="K7" s="12" t="n"/>
      <c r="L7" s="65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>
      <c r="A8" s="57" t="n"/>
      <c r="B8" s="57" t="n"/>
      <c r="C8" s="7" t="n"/>
      <c r="D8" s="7" t="n"/>
      <c r="E8" s="7" t="n"/>
      <c r="F8" s="7" t="n">
        <v>2</v>
      </c>
      <c r="G8" s="58" t="n">
        <v>0</v>
      </c>
      <c r="H8" s="56" t="n"/>
      <c r="I8" s="7" t="inlineStr">
        <is>
          <t>☐</t>
        </is>
      </c>
      <c r="J8" s="12" t="n"/>
      <c r="K8" s="12" t="n"/>
      <c r="L8" s="65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>
      <c r="A9" s="57" t="n"/>
      <c r="B9" s="57" t="n"/>
      <c r="C9" s="7" t="n"/>
      <c r="D9" s="7" t="n"/>
      <c r="E9" s="7" t="n"/>
      <c r="F9" s="7" t="n">
        <v>2</v>
      </c>
      <c r="G9" s="58" t="n">
        <v>0</v>
      </c>
      <c r="H9" s="56" t="n"/>
      <c r="I9" s="7" t="inlineStr">
        <is>
          <t>☐</t>
        </is>
      </c>
      <c r="J9" s="12" t="n"/>
      <c r="K9" s="12" t="n"/>
      <c r="L9" s="65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>
      <c r="A10" s="57" t="n"/>
      <c r="B10" s="57" t="n"/>
      <c r="C10" s="7" t="n"/>
      <c r="D10" s="7" t="n"/>
      <c r="E10" s="7" t="n"/>
      <c r="F10" s="7" t="n">
        <v>2</v>
      </c>
      <c r="G10" s="58" t="n">
        <v>0</v>
      </c>
      <c r="H10" s="56" t="n"/>
      <c r="I10" s="7" t="inlineStr">
        <is>
          <t>☐</t>
        </is>
      </c>
      <c r="J10" s="12" t="n"/>
      <c r="K10" s="12" t="n"/>
      <c r="L10" s="65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>
      <c r="A11" s="57" t="n"/>
      <c r="B11" s="57" t="n"/>
      <c r="C11" s="7" t="n"/>
      <c r="D11" s="7" t="n"/>
      <c r="E11" s="7" t="n"/>
      <c r="F11" s="7" t="n">
        <v>2</v>
      </c>
      <c r="G11" s="58" t="n">
        <v>0</v>
      </c>
      <c r="H11" s="7" t="n"/>
      <c r="I11" s="7" t="inlineStr">
        <is>
          <t>☐</t>
        </is>
      </c>
      <c r="J11" s="12" t="n"/>
      <c r="K11" s="12" t="n"/>
      <c r="L11" s="65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</row>
    <row r="12">
      <c r="A12" s="57" t="n"/>
      <c r="B12" s="57" t="n"/>
      <c r="C12" s="7" t="n"/>
      <c r="D12" s="7" t="n"/>
      <c r="E12" s="7" t="n"/>
      <c r="F12" s="7" t="n"/>
      <c r="G12" s="58" t="n">
        <v>0</v>
      </c>
      <c r="H12" s="7" t="n"/>
      <c r="I12" s="7" t="inlineStr">
        <is>
          <t>☐</t>
        </is>
      </c>
      <c r="J12" s="12" t="n"/>
      <c r="K12" s="12" t="n"/>
      <c r="L12" s="65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</row>
    <row r="13" ht="18" customHeight="1">
      <c r="A13" s="6" t="inlineStr">
        <is>
          <t>10月1日周日   长沙</t>
        </is>
      </c>
      <c r="J13" s="12" t="n"/>
      <c r="K13" s="12" t="n"/>
      <c r="L13" s="65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</row>
    <row r="14">
      <c r="A14" s="57" t="n"/>
      <c r="B14" s="57" t="n"/>
      <c r="C14" s="7" t="n"/>
      <c r="D14" s="7" t="n"/>
      <c r="E14" s="7" t="n"/>
      <c r="F14" s="7" t="n"/>
      <c r="G14" s="58" t="n">
        <v>0</v>
      </c>
      <c r="H14" s="7" t="n"/>
      <c r="I14" s="7" t="inlineStr">
        <is>
          <t>☐</t>
        </is>
      </c>
      <c r="J14" s="12" t="n"/>
      <c r="K14" s="12" t="n"/>
      <c r="L14" s="65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</row>
    <row r="15">
      <c r="A15" s="57" t="n"/>
      <c r="B15" s="57" t="n"/>
      <c r="C15" s="7" t="n"/>
      <c r="D15" s="7" t="n"/>
      <c r="E15" s="7" t="n"/>
      <c r="F15" s="7" t="n"/>
      <c r="G15" s="58" t="n"/>
      <c r="H15" s="7" t="n"/>
      <c r="I15" s="7" t="inlineStr">
        <is>
          <t>☐</t>
        </is>
      </c>
      <c r="J15" s="12" t="n"/>
      <c r="K15" s="12" t="n"/>
      <c r="L15" s="65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>
      <c r="A16" s="57" t="n"/>
      <c r="B16" s="57" t="n"/>
      <c r="C16" s="7" t="n"/>
      <c r="D16" s="7" t="n"/>
      <c r="E16" s="7" t="n"/>
      <c r="F16" s="7" t="n"/>
      <c r="G16" s="58" t="n"/>
      <c r="H16" s="7" t="n"/>
      <c r="I16" s="7" t="inlineStr">
        <is>
          <t>☐</t>
        </is>
      </c>
      <c r="J16" s="12" t="n"/>
      <c r="K16" s="12" t="n"/>
      <c r="L16" s="65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>
      <c r="A17" s="57" t="n"/>
      <c r="B17" s="57" t="n"/>
      <c r="C17" s="7" t="n"/>
      <c r="D17" s="7" t="n"/>
      <c r="E17" s="7" t="n"/>
      <c r="F17" s="7" t="n"/>
      <c r="G17" s="58" t="n"/>
      <c r="H17" s="7" t="n"/>
      <c r="I17" s="7" t="inlineStr">
        <is>
          <t>☐</t>
        </is>
      </c>
      <c r="J17" s="12" t="n"/>
      <c r="K17" s="12" t="n"/>
      <c r="L17" s="65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</row>
    <row r="18">
      <c r="A18" s="57" t="n"/>
      <c r="B18" s="57" t="n"/>
      <c r="C18" s="7" t="n"/>
      <c r="D18" s="7" t="n"/>
      <c r="E18" s="7" t="n"/>
      <c r="F18" s="7" t="n"/>
      <c r="G18" s="58" t="n"/>
      <c r="H18" s="7" t="n"/>
      <c r="I18" s="7" t="inlineStr">
        <is>
          <t>☐</t>
        </is>
      </c>
      <c r="J18" s="12" t="n"/>
      <c r="K18" s="12" t="n"/>
      <c r="L18" s="65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>
      <c r="A19" s="57" t="n"/>
      <c r="B19" s="57" t="n"/>
      <c r="C19" s="7" t="n"/>
      <c r="D19" s="7" t="n"/>
      <c r="E19" s="7" t="n"/>
      <c r="F19" s="7" t="n"/>
      <c r="G19" s="58" t="n"/>
      <c r="H19" s="7" t="n"/>
      <c r="I19" s="7" t="inlineStr">
        <is>
          <t>☐</t>
        </is>
      </c>
      <c r="J19" s="12" t="n"/>
      <c r="K19" s="12" t="n"/>
      <c r="L19" s="65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</row>
    <row r="20">
      <c r="A20" s="57" t="n"/>
      <c r="B20" s="57" t="n"/>
      <c r="C20" s="7" t="n"/>
      <c r="D20" s="7" t="n"/>
      <c r="E20" s="7" t="n"/>
      <c r="F20" s="7" t="n"/>
      <c r="G20" s="58" t="n"/>
      <c r="H20" s="7" t="n"/>
      <c r="I20" s="7" t="inlineStr">
        <is>
          <t>☐</t>
        </is>
      </c>
      <c r="J20" s="12" t="n"/>
      <c r="K20" s="12" t="n"/>
      <c r="L20" s="65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</row>
    <row r="21">
      <c r="A21" s="57" t="n"/>
      <c r="B21" s="57" t="n"/>
      <c r="C21" s="7" t="n"/>
      <c r="D21" s="7" t="n"/>
      <c r="E21" s="7" t="n"/>
      <c r="F21" s="7" t="n"/>
      <c r="G21" s="58" t="n"/>
      <c r="H21" s="7" t="n"/>
      <c r="I21" s="7" t="inlineStr">
        <is>
          <t>☐</t>
        </is>
      </c>
      <c r="J21" s="12" t="n"/>
      <c r="K21" s="12" t="n"/>
      <c r="L21" s="65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</row>
    <row r="22">
      <c r="A22" s="57" t="n"/>
      <c r="B22" s="57" t="n"/>
      <c r="C22" s="7" t="n"/>
      <c r="D22" s="7" t="n"/>
      <c r="E22" s="7" t="n"/>
      <c r="F22" s="7" t="n"/>
      <c r="G22" s="58" t="n"/>
      <c r="H22" s="7" t="n"/>
      <c r="I22" s="7" t="inlineStr">
        <is>
          <t>☐</t>
        </is>
      </c>
      <c r="J22" s="12" t="n"/>
      <c r="K22" s="12" t="n"/>
      <c r="L22" s="65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</row>
    <row r="23">
      <c r="A23" s="57" t="n"/>
      <c r="B23" s="57" t="n"/>
      <c r="C23" s="7" t="n"/>
      <c r="D23" s="7" t="n"/>
      <c r="E23" s="7" t="n"/>
      <c r="F23" s="7" t="n"/>
      <c r="G23" s="58" t="n">
        <v>0</v>
      </c>
      <c r="H23" s="7" t="n"/>
      <c r="I23" s="7" t="inlineStr">
        <is>
          <t>☐</t>
        </is>
      </c>
      <c r="J23" s="12" t="n"/>
      <c r="K23" s="12" t="n"/>
      <c r="L23" s="65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</row>
    <row r="24" ht="18" customHeight="1">
      <c r="A24" s="6" t="inlineStr">
        <is>
          <t>10月2日周一   长沙-酒店---酒店</t>
        </is>
      </c>
      <c r="J24" s="12" t="n"/>
      <c r="K24" s="12" t="n"/>
      <c r="L24" s="65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</row>
    <row r="25">
      <c r="A25" s="12" t="n"/>
      <c r="B25" s="12" t="n"/>
      <c r="C25" s="12" t="n"/>
      <c r="D25" s="12" t="n"/>
      <c r="E25" s="12" t="n"/>
      <c r="F25" s="12" t="n"/>
      <c r="G25" s="58" t="n"/>
      <c r="H25" s="12" t="n"/>
      <c r="I25" s="7" t="inlineStr">
        <is>
          <t>☐</t>
        </is>
      </c>
      <c r="J25" s="12" t="n"/>
      <c r="K25" s="12" t="n"/>
      <c r="L25" s="65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</row>
    <row r="26">
      <c r="A26" s="12" t="n"/>
      <c r="B26" s="12" t="n"/>
      <c r="C26" s="12" t="inlineStr">
        <is>
          <t>酒店入住</t>
        </is>
      </c>
      <c r="D26" s="12" t="n"/>
      <c r="E26" s="12" t="n">
        <v>572.667</v>
      </c>
      <c r="F26" s="12" t="n">
        <v>3</v>
      </c>
      <c r="G26" s="58" t="n">
        <v>1718</v>
      </c>
      <c r="H26" s="12" t="n"/>
      <c r="I26" s="7" t="inlineStr">
        <is>
          <t>☐</t>
        </is>
      </c>
      <c r="J26" s="12" t="n"/>
      <c r="K26" s="12" t="n"/>
      <c r="L26" s="65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</row>
    <row r="27">
      <c r="A27" s="57" t="n"/>
      <c r="B27" s="57" t="n"/>
      <c r="C27" s="7" t="n"/>
      <c r="D27" s="7" t="n"/>
      <c r="E27" s="7" t="n"/>
      <c r="F27" s="7" t="n"/>
      <c r="G27" s="58" t="n">
        <v>0</v>
      </c>
      <c r="H27" s="7" t="n"/>
      <c r="I27" s="7" t="inlineStr">
        <is>
          <t>☐</t>
        </is>
      </c>
      <c r="J27" s="12" t="n"/>
      <c r="K27" s="12" t="n"/>
      <c r="L27" s="65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</row>
    <row r="28" ht="18" customHeight="1">
      <c r="A28" s="6" t="inlineStr">
        <is>
          <t>10月3日周二   长沙-武汉-酒店---酒店</t>
        </is>
      </c>
      <c r="J28" s="12" t="n"/>
      <c r="K28" s="12" t="n"/>
      <c r="L28" s="65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</row>
    <row r="29">
      <c r="A29" s="57" t="n"/>
      <c r="B29" s="57" t="n"/>
      <c r="C29" s="7" t="n"/>
      <c r="D29" s="7" t="n"/>
      <c r="E29" s="7" t="n"/>
      <c r="F29" s="7" t="n"/>
      <c r="G29" s="58" t="n">
        <v>0</v>
      </c>
      <c r="H29" s="7" t="n"/>
      <c r="I29" s="7" t="inlineStr">
        <is>
          <t>☐</t>
        </is>
      </c>
      <c r="J29" s="12" t="n"/>
      <c r="K29" s="12" t="n"/>
      <c r="L29" s="65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</row>
    <row r="30" ht="18" customHeight="1">
      <c r="A30" s="6" t="inlineStr">
        <is>
          <t>10月4日周三   酒店---酒店</t>
        </is>
      </c>
      <c r="J30" s="12" t="n"/>
      <c r="K30" s="12" t="n"/>
      <c r="L30" s="65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</row>
    <row r="31">
      <c r="A31" s="57" t="n"/>
      <c r="B31" s="57" t="n"/>
      <c r="C31" s="7" t="n"/>
      <c r="D31" s="7" t="n"/>
      <c r="E31" s="7" t="n"/>
      <c r="F31" s="7" t="n"/>
      <c r="G31" s="58" t="n">
        <v>0</v>
      </c>
      <c r="H31" s="7" t="n"/>
      <c r="I31" s="7" t="inlineStr">
        <is>
          <t>☐</t>
        </is>
      </c>
      <c r="J31" s="12" t="n"/>
      <c r="K31" s="12" t="n"/>
      <c r="L31" s="65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</row>
    <row r="32" ht="18" customHeight="1">
      <c r="A32" s="6" t="inlineStr">
        <is>
          <t>10月5日周四   酒店---酒店</t>
        </is>
      </c>
      <c r="J32" s="12" t="n"/>
      <c r="K32" s="12" t="n"/>
      <c r="L32" s="65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</row>
    <row r="33">
      <c r="A33" s="57" t="n"/>
      <c r="B33" s="57" t="n"/>
      <c r="C33" s="7" t="n"/>
      <c r="D33" s="7" t="n"/>
      <c r="E33" s="7" t="n"/>
      <c r="F33" s="7" t="n"/>
      <c r="G33" s="58" t="n">
        <v>0</v>
      </c>
      <c r="H33" s="7" t="n"/>
      <c r="I33" s="7" t="inlineStr">
        <is>
          <t>☐</t>
        </is>
      </c>
      <c r="J33" s="12" t="n"/>
      <c r="K33" s="12" t="n"/>
      <c r="L33" s="65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65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65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65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65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65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65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65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65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65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65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65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65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65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65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65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65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65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65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65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65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65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65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65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65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65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65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65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65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65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65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65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65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65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65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65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65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65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65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65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65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65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65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65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65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65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65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65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65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65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65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65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65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65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65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65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65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65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65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65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65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65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65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65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65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65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65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65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65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65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65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65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65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65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65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65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65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65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65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65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65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65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65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65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65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65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65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65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65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65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65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65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65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65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65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65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65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65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65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65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65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65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65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65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65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65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65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65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65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65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65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65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65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65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65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65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65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65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65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65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65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65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65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65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65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65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65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65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65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65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65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65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65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65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65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65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65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65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65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65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65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65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65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65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65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65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65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65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65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65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65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65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65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65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65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65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65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65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65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65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65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65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65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65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65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65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65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65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65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65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65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65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65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65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</row>
  </sheetData>
  <mergeCells count="6">
    <mergeCell ref="A2:I2"/>
    <mergeCell ref="A28:I28"/>
    <mergeCell ref="A32:I32"/>
    <mergeCell ref="A13:I13"/>
    <mergeCell ref="A24:I24"/>
    <mergeCell ref="A30:I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ColWidth="9" defaultRowHeight="14.25"/>
  <cols>
    <col width="5.375" customWidth="1" min="1" max="2"/>
    <col width="9.625" customWidth="1" min="3" max="3"/>
    <col width="34.25" customWidth="1" min="4" max="4"/>
    <col width="6.75" customWidth="1" min="5" max="5"/>
    <col width="4.75" customWidth="1" min="6" max="6"/>
    <col width="7.625" customWidth="1" min="7" max="7"/>
    <col width="8" customWidth="1" min="8" max="8"/>
    <col width="4.75" customWidth="1" min="9" max="9"/>
    <col width="8.875" customWidth="1" min="10" max="10"/>
    <col width="10.5" customWidth="1" min="11" max="11"/>
  </cols>
  <sheetData>
    <row r="1" ht="18" customHeight="1">
      <c r="A1" s="2" t="inlineStr">
        <is>
          <t>开始</t>
        </is>
      </c>
      <c r="B1" s="3" t="inlineStr">
        <is>
          <t>结束</t>
        </is>
      </c>
      <c r="C1" s="3" t="inlineStr">
        <is>
          <t>项目</t>
        </is>
      </c>
      <c r="D1" s="3" t="inlineStr">
        <is>
          <t>备注</t>
        </is>
      </c>
      <c r="E1" s="3" t="inlineStr">
        <is>
          <t>单价</t>
        </is>
      </c>
      <c r="F1" s="3" t="inlineStr">
        <is>
          <t>数量</t>
        </is>
      </c>
      <c r="G1" s="3" t="inlineStr">
        <is>
          <t>消费</t>
        </is>
      </c>
      <c r="H1" s="3" t="inlineStr">
        <is>
          <t>抢票时间</t>
        </is>
      </c>
      <c r="I1" s="3" t="inlineStr">
        <is>
          <t>购买</t>
        </is>
      </c>
      <c r="J1" s="4" t="inlineStr">
        <is>
          <t>总消费</t>
        </is>
      </c>
      <c r="K1" s="5" t="n">
        <v>2801.39</v>
      </c>
    </row>
    <row r="2" ht="18" customHeight="1">
      <c r="A2" s="6" t="inlineStr">
        <is>
          <t>8月02日周六  苏州-济南</t>
        </is>
      </c>
      <c r="J2" s="7" t="n"/>
      <c r="K2" s="7" t="n"/>
    </row>
    <row r="3">
      <c r="A3" s="57" t="n">
        <v>0.2465277777777778</v>
      </c>
      <c r="B3" s="57" t="n">
        <v>0.2743055555555556</v>
      </c>
      <c r="C3" s="7" t="inlineStr">
        <is>
          <t>起床</t>
        </is>
      </c>
      <c r="D3" s="7" t="n"/>
      <c r="E3" s="7" t="n"/>
      <c r="F3" s="7" t="n"/>
      <c r="G3" s="58" t="n">
        <v>0</v>
      </c>
      <c r="H3" s="56" t="n"/>
      <c r="I3" s="7" t="inlineStr">
        <is>
          <t>☐</t>
        </is>
      </c>
      <c r="J3" s="7" t="n"/>
      <c r="K3" s="7" t="n"/>
    </row>
    <row r="4">
      <c r="A4" s="57" t="n">
        <v>0.2777777777777778</v>
      </c>
      <c r="B4" s="57" t="n">
        <v>0.3020833333333333</v>
      </c>
      <c r="C4" s="7" t="inlineStr">
        <is>
          <t>打车</t>
        </is>
      </c>
      <c r="D4" s="7" t="inlineStr">
        <is>
          <t>菁源-苏州北</t>
        </is>
      </c>
      <c r="E4" s="7" t="n">
        <v>25</v>
      </c>
      <c r="F4" s="7" t="n">
        <v>1</v>
      </c>
      <c r="G4" s="58" t="n">
        <v>25</v>
      </c>
      <c r="H4" s="56" t="n"/>
      <c r="I4" s="7" t="inlineStr">
        <is>
          <t>☐</t>
        </is>
      </c>
      <c r="J4" s="7" t="n"/>
      <c r="K4" s="7" t="n"/>
    </row>
    <row r="5">
      <c r="A5" s="57" t="n">
        <v>0.3159722222222222</v>
      </c>
      <c r="B5" s="57" t="n">
        <v>0.4541666666666667</v>
      </c>
      <c r="C5" s="7" t="inlineStr">
        <is>
          <t>高铁</t>
        </is>
      </c>
      <c r="D5" s="7" t="inlineStr">
        <is>
          <t>G230 苏州北-济南</t>
        </is>
      </c>
      <c r="E5" s="7" t="n">
        <v>398</v>
      </c>
      <c r="F5" s="7" t="n">
        <v>2</v>
      </c>
      <c r="G5" s="58" t="n">
        <v>796</v>
      </c>
      <c r="H5" s="56" t="inlineStr">
        <is>
          <t>done</t>
        </is>
      </c>
      <c r="I5" s="7" t="inlineStr">
        <is>
          <t>☑</t>
        </is>
      </c>
      <c r="J5" s="7" t="n"/>
      <c r="K5" s="7" t="n"/>
    </row>
    <row r="6">
      <c r="A6" s="57" t="n">
        <v>0.4652777777777778</v>
      </c>
      <c r="B6" s="57" t="n">
        <v>0.4826388888888889</v>
      </c>
      <c r="C6" s="7" t="inlineStr">
        <is>
          <t>打车</t>
        </is>
      </c>
      <c r="D6" s="7" t="n"/>
      <c r="E6" s="7" t="n">
        <v>30</v>
      </c>
      <c r="F6" s="7" t="n">
        <v>1</v>
      </c>
      <c r="G6" s="58" t="n">
        <v>30</v>
      </c>
      <c r="H6" s="56" t="n"/>
      <c r="I6" s="7" t="inlineStr">
        <is>
          <t>☐</t>
        </is>
      </c>
      <c r="J6" s="7" t="n"/>
      <c r="K6" s="7" t="n"/>
    </row>
    <row r="7">
      <c r="A7" s="57" t="n">
        <v>0.4861111111111111</v>
      </c>
      <c r="B7" s="57" t="n">
        <v>0.5</v>
      </c>
      <c r="C7" s="7" t="inlineStr">
        <is>
          <t>酒店入住</t>
        </is>
      </c>
      <c r="D7" s="7" t="inlineStr">
        <is>
          <t>桔子</t>
        </is>
      </c>
      <c r="E7" s="7" t="n">
        <v>261.18</v>
      </c>
      <c r="F7" s="7" t="n">
        <v>2</v>
      </c>
      <c r="G7" s="58" t="n">
        <v>522.36</v>
      </c>
      <c r="H7" s="56" t="inlineStr">
        <is>
          <t>done</t>
        </is>
      </c>
      <c r="I7" s="7" t="inlineStr">
        <is>
          <t>☑</t>
        </is>
      </c>
      <c r="J7" s="7" t="n"/>
      <c r="K7" s="7" t="n"/>
    </row>
    <row r="8">
      <c r="A8" s="57" t="n"/>
      <c r="B8" s="57" t="n"/>
      <c r="C8" s="7" t="n"/>
      <c r="D8" s="7" t="n"/>
      <c r="E8" s="7" t="n"/>
      <c r="F8" s="7" t="n">
        <v>2</v>
      </c>
      <c r="G8" s="58" t="n">
        <v>0</v>
      </c>
      <c r="H8" s="56" t="n"/>
      <c r="I8" s="7" t="inlineStr">
        <is>
          <t>☐</t>
        </is>
      </c>
      <c r="J8" s="7" t="n"/>
      <c r="K8" s="7" t="n"/>
    </row>
    <row r="9">
      <c r="A9" s="57" t="n"/>
      <c r="B9" s="57" t="n"/>
      <c r="C9" s="7" t="n"/>
      <c r="D9" s="7" t="n"/>
      <c r="E9" s="7" t="n"/>
      <c r="F9" s="7" t="n">
        <v>2</v>
      </c>
      <c r="G9" s="58" t="n">
        <v>0</v>
      </c>
      <c r="H9" s="56" t="n"/>
      <c r="I9" s="7" t="inlineStr">
        <is>
          <t>☐</t>
        </is>
      </c>
      <c r="J9" s="7" t="n"/>
      <c r="K9" s="7" t="n"/>
    </row>
    <row r="10">
      <c r="A10" s="57" t="n"/>
      <c r="B10" s="57" t="n"/>
      <c r="C10" s="7" t="n"/>
      <c r="D10" s="7" t="n"/>
      <c r="E10" s="7" t="n"/>
      <c r="F10" s="7" t="n">
        <v>2</v>
      </c>
      <c r="G10" s="58" t="n">
        <v>0</v>
      </c>
      <c r="H10" s="56" t="n"/>
      <c r="I10" s="7" t="inlineStr">
        <is>
          <t>☐</t>
        </is>
      </c>
      <c r="J10" s="7" t="n"/>
      <c r="K10" s="7" t="n"/>
    </row>
    <row r="11">
      <c r="A11" s="57" t="n"/>
      <c r="B11" s="57" t="n"/>
      <c r="C11" s="7" t="n"/>
      <c r="D11" s="7" t="n"/>
      <c r="E11" s="7" t="n"/>
      <c r="F11" s="7" t="n">
        <v>2</v>
      </c>
      <c r="G11" s="58" t="n">
        <v>0</v>
      </c>
      <c r="H11" s="7" t="n"/>
      <c r="I11" s="7" t="inlineStr">
        <is>
          <t>☐</t>
        </is>
      </c>
      <c r="J11" s="7" t="n"/>
      <c r="K11" s="7" t="n"/>
    </row>
    <row r="12">
      <c r="A12" s="57" t="n"/>
      <c r="B12" s="57" t="n"/>
      <c r="C12" s="7" t="n"/>
      <c r="D12" s="7" t="n"/>
      <c r="E12" s="7" t="n"/>
      <c r="F12" s="7" t="n"/>
      <c r="G12" s="58" t="n">
        <v>0</v>
      </c>
      <c r="H12" s="7" t="n"/>
      <c r="I12" s="7" t="inlineStr">
        <is>
          <t>☐</t>
        </is>
      </c>
      <c r="J12" s="7" t="n"/>
      <c r="K12" s="7" t="n"/>
    </row>
    <row r="13" ht="18" customHeight="1">
      <c r="A13" s="6" t="inlineStr">
        <is>
          <t>8月03日周日   济南</t>
        </is>
      </c>
      <c r="J13" s="7" t="n"/>
      <c r="K13" s="7" t="n"/>
    </row>
    <row r="14">
      <c r="A14" s="57" t="n"/>
      <c r="B14" s="57" t="n"/>
      <c r="C14" s="7" t="n"/>
      <c r="D14" s="7" t="n"/>
      <c r="E14" s="7" t="n"/>
      <c r="F14" s="7" t="n"/>
      <c r="G14" s="58" t="n">
        <v>0</v>
      </c>
      <c r="H14" s="7" t="n"/>
      <c r="I14" s="7" t="inlineStr">
        <is>
          <t>☐</t>
        </is>
      </c>
      <c r="J14" s="7" t="n"/>
      <c r="K14" s="7" t="n"/>
    </row>
    <row r="15">
      <c r="A15" s="57" t="n"/>
      <c r="B15" s="57" t="n"/>
      <c r="C15" s="7" t="n"/>
      <c r="D15" s="7" t="n"/>
      <c r="E15" s="7" t="n"/>
      <c r="F15" s="7" t="n"/>
      <c r="G15" s="58" t="n">
        <v>0</v>
      </c>
      <c r="H15" s="7" t="n"/>
      <c r="I15" s="7" t="inlineStr">
        <is>
          <t>☐</t>
        </is>
      </c>
      <c r="J15" s="7" t="n"/>
      <c r="K15" s="7" t="n"/>
    </row>
    <row r="16">
      <c r="A16" s="57" t="n"/>
      <c r="B16" s="57" t="n"/>
      <c r="C16" s="7" t="n"/>
      <c r="D16" s="7" t="n"/>
      <c r="E16" s="7" t="n"/>
      <c r="F16" s="7" t="n"/>
      <c r="G16" s="58" t="n">
        <v>0</v>
      </c>
      <c r="H16" s="7" t="n"/>
      <c r="I16" s="7" t="inlineStr">
        <is>
          <t>☐</t>
        </is>
      </c>
      <c r="J16" s="7" t="n"/>
      <c r="K16" s="7" t="n"/>
    </row>
    <row r="17" ht="18" customHeight="1">
      <c r="A17" s="6" t="inlineStr">
        <is>
          <t>8月04日周一   济南 烟台</t>
        </is>
      </c>
      <c r="J17" s="7" t="n"/>
      <c r="K17" s="7" t="n"/>
    </row>
    <row r="18">
      <c r="A18" s="57" t="n"/>
      <c r="B18" s="57" t="n"/>
      <c r="C18" s="7" t="inlineStr">
        <is>
          <t>起床</t>
        </is>
      </c>
      <c r="D18" s="7" t="n"/>
      <c r="E18" s="7" t="n"/>
      <c r="F18" s="7" t="n"/>
      <c r="G18" s="58" t="n">
        <v>0</v>
      </c>
      <c r="H18" s="7" t="n"/>
      <c r="I18" s="7" t="inlineStr">
        <is>
          <t>☐</t>
        </is>
      </c>
      <c r="J18" s="7" t="n"/>
      <c r="K18" s="7" t="n"/>
    </row>
    <row r="19">
      <c r="A19" s="57" t="n">
        <v>0.4166666666666667</v>
      </c>
      <c r="B19" s="57" t="n">
        <v>0.4409722222222222</v>
      </c>
      <c r="C19" s="7" t="inlineStr">
        <is>
          <t>打车</t>
        </is>
      </c>
      <c r="D19" s="7" t="n"/>
      <c r="E19" s="7" t="n"/>
      <c r="F19" s="7" t="n"/>
      <c r="G19" s="58" t="n">
        <v>0</v>
      </c>
      <c r="H19" s="7" t="n"/>
      <c r="I19" s="7" t="inlineStr">
        <is>
          <t>☐</t>
        </is>
      </c>
      <c r="J19" s="7" t="n"/>
      <c r="K19" s="7" t="n"/>
    </row>
    <row r="20">
      <c r="A20" s="57" t="n">
        <v>0.4631944444444445</v>
      </c>
      <c r="B20" s="57" t="n">
        <v>0.5625</v>
      </c>
      <c r="C20" s="7" t="inlineStr">
        <is>
          <t>高铁</t>
        </is>
      </c>
      <c r="D20" s="7" t="inlineStr">
        <is>
          <t>D8151济南东-烟台南</t>
        </is>
      </c>
      <c r="E20" s="7" t="n">
        <v>167</v>
      </c>
      <c r="F20" s="7" t="n">
        <v>2</v>
      </c>
      <c r="G20" s="58" t="n">
        <v>334</v>
      </c>
      <c r="H20" s="7" t="n"/>
      <c r="I20" s="7" t="inlineStr">
        <is>
          <t>☑</t>
        </is>
      </c>
      <c r="J20" s="7" t="n"/>
      <c r="K20" s="7" t="n"/>
    </row>
    <row r="21">
      <c r="A21" s="57" t="n"/>
      <c r="B21" s="57" t="n"/>
      <c r="C21" s="7" t="inlineStr">
        <is>
          <t>打车</t>
        </is>
      </c>
      <c r="D21" s="7" t="n"/>
      <c r="E21" s="7" t="n">
        <v>30</v>
      </c>
      <c r="F21" s="7" t="n"/>
      <c r="G21" s="58" t="n">
        <v>0</v>
      </c>
      <c r="H21" s="7" t="n"/>
      <c r="I21" s="7" t="inlineStr">
        <is>
          <t>☐</t>
        </is>
      </c>
      <c r="J21" s="7" t="n"/>
      <c r="K21" s="7" t="n"/>
    </row>
    <row r="22">
      <c r="A22" s="57" t="n"/>
      <c r="B22" s="57" t="n"/>
      <c r="C22" s="7" t="inlineStr">
        <is>
          <t>酒店入住</t>
        </is>
      </c>
      <c r="D22" s="7" t="inlineStr">
        <is>
          <t>全季万达广场店</t>
        </is>
      </c>
      <c r="E22" s="7" t="n">
        <v>398.03</v>
      </c>
      <c r="F22" s="7" t="n">
        <v>1</v>
      </c>
      <c r="G22" s="58" t="n">
        <v>398.03</v>
      </c>
      <c r="H22" s="7" t="n"/>
      <c r="I22" s="7" t="inlineStr">
        <is>
          <t>☑</t>
        </is>
      </c>
      <c r="J22" s="7" t="n"/>
      <c r="K22" s="7" t="n"/>
    </row>
    <row r="23">
      <c r="A23" s="57" t="n"/>
      <c r="B23" s="57" t="n"/>
      <c r="C23" s="7" t="inlineStr">
        <is>
          <t>时光塔</t>
        </is>
      </c>
      <c r="D23" s="7" t="inlineStr">
        <is>
          <t>时光塔-步行800米到孤独的鲸</t>
        </is>
      </c>
      <c r="E23" s="7" t="n"/>
      <c r="F23" s="7" t="n"/>
      <c r="G23" s="58" t="n">
        <v>0</v>
      </c>
      <c r="H23" s="7" t="n"/>
      <c r="I23" s="7" t="inlineStr">
        <is>
          <t>☐</t>
        </is>
      </c>
      <c r="J23" s="7" t="n"/>
      <c r="K23" s="7" t="n"/>
    </row>
    <row r="24">
      <c r="A24" s="57" t="n"/>
      <c r="B24" s="57" t="n"/>
      <c r="C24" s="7" t="inlineStr">
        <is>
          <t>孤独的鲸</t>
        </is>
      </c>
      <c r="D24" s="7" t="inlineStr">
        <is>
          <t>步行1000米到天空之约-打车到恋烟台礼堂</t>
        </is>
      </c>
      <c r="E24" s="7" t="n"/>
      <c r="F24" s="7" t="n"/>
      <c r="G24" s="58" t="n">
        <v>0</v>
      </c>
      <c r="H24" s="7" t="n"/>
      <c r="I24" s="7" t="inlineStr">
        <is>
          <t>☐</t>
        </is>
      </c>
      <c r="J24" s="7" t="n"/>
      <c r="K24" s="7" t="n"/>
    </row>
    <row r="25">
      <c r="A25" s="57" t="n"/>
      <c r="B25" s="57" t="n"/>
      <c r="C25" s="7" t="inlineStr">
        <is>
          <t>天空之约</t>
        </is>
      </c>
      <c r="D25" s="7" t="inlineStr">
        <is>
          <t>-步行800米后沙广场-打车到烟台山</t>
        </is>
      </c>
      <c r="E25" s="7" t="n"/>
      <c r="F25" s="7" t="n"/>
      <c r="G25" s="58" t="n">
        <v>0</v>
      </c>
      <c r="H25" s="7" t="n"/>
      <c r="I25" s="7" t="inlineStr">
        <is>
          <t>☐</t>
        </is>
      </c>
      <c r="J25" s="7" t="n"/>
      <c r="K25" s="7" t="n"/>
    </row>
    <row r="26">
      <c r="A26" s="57" t="n"/>
      <c r="B26" s="57" t="n"/>
      <c r="C26" s="7" t="inlineStr">
        <is>
          <t>恋烟台礼堂</t>
        </is>
      </c>
      <c r="D26" s="7" t="inlineStr">
        <is>
          <t>步行至朝阳街-所城里</t>
        </is>
      </c>
      <c r="E26" s="7" t="n"/>
      <c r="F26" s="7" t="n"/>
      <c r="G26" s="58" t="n">
        <v>0</v>
      </c>
      <c r="H26" s="7" t="n"/>
      <c r="I26" s="7" t="inlineStr">
        <is>
          <t>☐</t>
        </is>
      </c>
      <c r="J26" s="7" t="n"/>
      <c r="K26" s="7" t="n"/>
    </row>
    <row r="27">
      <c r="A27" s="57" t="n"/>
      <c r="B27" s="57" t="n"/>
      <c r="C27" s="7" t="inlineStr">
        <is>
          <t>晚餐</t>
        </is>
      </c>
      <c r="D27" s="7" t="inlineStr">
        <is>
          <t>点外卖或者路上随便</t>
        </is>
      </c>
      <c r="E27" s="7" t="n"/>
      <c r="F27" s="7" t="n"/>
      <c r="G27" s="58" t="n">
        <v>0</v>
      </c>
      <c r="H27" s="7" t="n"/>
      <c r="I27" s="7" t="inlineStr">
        <is>
          <t>☐</t>
        </is>
      </c>
      <c r="J27" s="7" t="n"/>
      <c r="K27" s="7" t="n"/>
    </row>
    <row r="28" ht="18" customHeight="1">
      <c r="A28" s="6" t="inlineStr">
        <is>
          <t>8月05日周二   烟台 威海</t>
        </is>
      </c>
      <c r="J28" s="7" t="n"/>
      <c r="K28" s="7" t="n"/>
    </row>
    <row r="29">
      <c r="A29" s="57" t="n"/>
      <c r="B29" s="57" t="n"/>
      <c r="C29" s="7" t="inlineStr">
        <is>
          <t>早餐</t>
        </is>
      </c>
      <c r="D29" s="7" t="inlineStr">
        <is>
          <t>酒店免费</t>
        </is>
      </c>
      <c r="E29" s="7" t="n"/>
      <c r="F29" s="7" t="n"/>
      <c r="G29" s="58" t="n">
        <v>0</v>
      </c>
      <c r="H29" s="7" t="n"/>
      <c r="I29" s="7" t="inlineStr">
        <is>
          <t>☐</t>
        </is>
      </c>
      <c r="J29" s="7" t="n"/>
      <c r="K29" s="7" t="n"/>
    </row>
    <row r="30">
      <c r="A30" s="57" t="n"/>
      <c r="B30" s="57" t="n"/>
      <c r="C30" s="7" t="inlineStr">
        <is>
          <t>东山栈桥</t>
        </is>
      </c>
      <c r="D30" s="7" t="n"/>
      <c r="E30" s="7" t="n"/>
      <c r="F30" s="7" t="n"/>
      <c r="G30" s="58" t="n">
        <v>0</v>
      </c>
      <c r="H30" s="7" t="n"/>
      <c r="I30" s="7" t="inlineStr">
        <is>
          <t>☐</t>
        </is>
      </c>
      <c r="J30" s="7" t="n"/>
      <c r="K30" s="7" t="n"/>
    </row>
    <row r="31">
      <c r="A31" s="57" t="n"/>
      <c r="B31" s="57" t="n"/>
      <c r="C31" s="7" t="inlineStr">
        <is>
          <t>渔人码头</t>
        </is>
      </c>
      <c r="D31" s="7" t="n"/>
      <c r="E31" s="7" t="n"/>
      <c r="F31" s="7" t="n"/>
      <c r="G31" s="58" t="n">
        <v>0</v>
      </c>
      <c r="H31" s="7" t="n"/>
      <c r="I31" s="7" t="inlineStr">
        <is>
          <t>☐</t>
        </is>
      </c>
      <c r="J31" s="7" t="n"/>
      <c r="K31" s="7" t="n"/>
    </row>
    <row r="32">
      <c r="A32" s="57" t="n"/>
      <c r="B32" s="57" t="n"/>
      <c r="C32" s="7" t="inlineStr">
        <is>
          <t>滨海中路</t>
        </is>
      </c>
      <c r="D32" s="7" t="n"/>
      <c r="E32" s="7" t="n"/>
      <c r="F32" s="7" t="n"/>
      <c r="G32" s="58" t="n">
        <v>0</v>
      </c>
      <c r="H32" s="7" t="n"/>
      <c r="I32" s="7" t="inlineStr">
        <is>
          <t>☐</t>
        </is>
      </c>
      <c r="J32" s="7" t="n"/>
      <c r="K32" s="7" t="n"/>
    </row>
    <row r="33">
      <c r="A33" s="57" t="n"/>
      <c r="B33" s="57" t="n"/>
      <c r="C33" s="7" t="inlineStr">
        <is>
          <t>养马岛</t>
        </is>
      </c>
      <c r="D33" s="7" t="n"/>
      <c r="E33" s="7" t="n"/>
      <c r="F33" s="7" t="n"/>
      <c r="G33" s="58" t="n">
        <v>0</v>
      </c>
      <c r="H33" s="7" t="n"/>
      <c r="I33" s="7" t="inlineStr">
        <is>
          <t>☐</t>
        </is>
      </c>
      <c r="J33" s="7" t="n"/>
      <c r="K33" s="7" t="n"/>
    </row>
    <row r="34">
      <c r="A34" s="7" t="n"/>
      <c r="B34" s="7" t="n"/>
      <c r="C34" s="7" t="inlineStr">
        <is>
          <t>高铁</t>
        </is>
      </c>
      <c r="D34" s="7" t="n"/>
      <c r="E34" s="7" t="n">
        <v>20</v>
      </c>
      <c r="F34" s="7" t="n">
        <v>2</v>
      </c>
      <c r="G34" s="58" t="n">
        <v>40</v>
      </c>
      <c r="H34" s="7" t="n"/>
      <c r="I34" s="7" t="inlineStr">
        <is>
          <t>☐</t>
        </is>
      </c>
      <c r="J34" s="7" t="n"/>
      <c r="K34" s="7" t="n"/>
    </row>
    <row r="35">
      <c r="A35" s="57" t="n"/>
      <c r="B35" s="57" t="n"/>
      <c r="C35" s="7" t="n"/>
      <c r="D35" s="7" t="inlineStr">
        <is>
          <t>如家neo 威海昆明路威高广场幸福门店</t>
        </is>
      </c>
      <c r="E35" s="7" t="n">
        <v>328</v>
      </c>
      <c r="F35" s="7" t="n">
        <v>2</v>
      </c>
      <c r="G35" s="58" t="n">
        <v>656</v>
      </c>
      <c r="H35" s="7" t="n"/>
      <c r="I35" s="7" t="inlineStr">
        <is>
          <t>☑</t>
        </is>
      </c>
      <c r="J35" s="7" t="n"/>
      <c r="K35" s="7" t="n"/>
    </row>
    <row r="36" ht="18" customHeight="1">
      <c r="A36" s="6" t="inlineStr">
        <is>
          <t>8月6日周四   威海</t>
        </is>
      </c>
      <c r="J36" s="7" t="n"/>
      <c r="K36" s="7" t="n"/>
    </row>
    <row r="37">
      <c r="A37" s="57" t="n"/>
      <c r="B37" s="57" t="n"/>
      <c r="C37" s="7" t="n"/>
      <c r="D37" s="7" t="n"/>
      <c r="E37" s="7" t="n"/>
      <c r="F37" s="7" t="n"/>
      <c r="G37" s="58" t="n">
        <v>0</v>
      </c>
      <c r="H37" s="7" t="n"/>
      <c r="I37" s="7" t="inlineStr">
        <is>
          <t>☐</t>
        </is>
      </c>
      <c r="J37" s="7" t="n"/>
      <c r="K37" s="7" t="n"/>
    </row>
    <row r="38">
      <c r="A38" s="57" t="n"/>
      <c r="B38" s="57" t="n"/>
      <c r="C38" s="7" t="n"/>
      <c r="D38" s="7" t="n"/>
      <c r="E38" s="7" t="n"/>
      <c r="F38" s="7" t="n"/>
      <c r="G38" s="58" t="n">
        <v>0</v>
      </c>
      <c r="H38" s="7" t="n"/>
      <c r="I38" s="7" t="inlineStr">
        <is>
          <t>☐</t>
        </is>
      </c>
      <c r="J38" s="7" t="n"/>
      <c r="K38" s="7" t="n"/>
    </row>
    <row r="39">
      <c r="A39" s="57" t="n"/>
      <c r="B39" s="57" t="n"/>
      <c r="C39" s="7" t="n"/>
      <c r="D39" s="7" t="n"/>
      <c r="E39" s="7" t="n"/>
      <c r="F39" s="7" t="n"/>
      <c r="G39" s="58" t="n">
        <v>0</v>
      </c>
      <c r="H39" s="7" t="n"/>
      <c r="I39" s="7" t="inlineStr">
        <is>
          <t>☐</t>
        </is>
      </c>
      <c r="J39" s="7" t="n"/>
      <c r="K39" s="7" t="n"/>
    </row>
    <row r="40">
      <c r="A40" s="57" t="n"/>
      <c r="B40" s="57" t="n"/>
      <c r="C40" s="7" t="n"/>
      <c r="D40" s="7" t="n"/>
      <c r="E40" s="7" t="n"/>
      <c r="F40" s="7" t="n"/>
      <c r="G40" s="58" t="n">
        <v>0</v>
      </c>
      <c r="H40" s="7" t="n"/>
      <c r="I40" s="7" t="inlineStr">
        <is>
          <t>☐</t>
        </is>
      </c>
      <c r="J40" s="7" t="n"/>
      <c r="K40" s="7" t="n"/>
    </row>
    <row r="41">
      <c r="A41" s="57" t="n"/>
      <c r="B41" s="57" t="n"/>
      <c r="C41" s="7" t="n"/>
      <c r="D41" s="7" t="n"/>
      <c r="E41" s="7" t="n"/>
      <c r="F41" s="7" t="n"/>
      <c r="G41" s="58" t="n">
        <v>0</v>
      </c>
      <c r="H41" s="7" t="n"/>
      <c r="I41" s="7" t="inlineStr">
        <is>
          <t>☐</t>
        </is>
      </c>
      <c r="J41" s="7" t="n"/>
      <c r="K41" s="7" t="n"/>
    </row>
    <row r="42">
      <c r="A42" s="57" t="n"/>
      <c r="B42" s="57" t="n"/>
      <c r="C42" s="7" t="n"/>
      <c r="D42" s="7" t="n"/>
      <c r="E42" s="7" t="n"/>
      <c r="F42" s="7" t="n"/>
      <c r="G42" s="58" t="n">
        <v>0</v>
      </c>
      <c r="H42" s="7" t="n"/>
      <c r="I42" s="7" t="inlineStr">
        <is>
          <t>☐</t>
        </is>
      </c>
      <c r="J42" s="7" t="n"/>
      <c r="K42" s="7" t="n"/>
    </row>
    <row r="43">
      <c r="A43" s="57" t="n"/>
      <c r="B43" s="57" t="n"/>
      <c r="C43" s="7" t="n"/>
      <c r="D43" s="7" t="n"/>
      <c r="E43" s="7" t="n"/>
      <c r="F43" s="7" t="n"/>
      <c r="G43" s="58" t="n">
        <v>0</v>
      </c>
      <c r="H43" s="7" t="n"/>
      <c r="I43" s="7" t="inlineStr">
        <is>
          <t>☐</t>
        </is>
      </c>
      <c r="J43" s="7" t="n"/>
      <c r="K43" s="7" t="n"/>
    </row>
    <row r="44">
      <c r="A44" s="57" t="n"/>
      <c r="B44" s="57" t="n"/>
      <c r="C44" s="7" t="n"/>
      <c r="D44" s="7" t="n"/>
      <c r="E44" s="7" t="n"/>
      <c r="F44" s="7" t="n"/>
      <c r="G44" s="58" t="n">
        <v>0</v>
      </c>
      <c r="H44" s="7" t="n"/>
      <c r="I44" s="7" t="inlineStr">
        <is>
          <t>☐</t>
        </is>
      </c>
      <c r="J44" s="7" t="n"/>
      <c r="K44" s="7" t="n"/>
    </row>
    <row r="45" ht="18" customHeight="1">
      <c r="A45" s="6" t="inlineStr">
        <is>
          <t>8月7日周五   威海 济南/泰安</t>
        </is>
      </c>
      <c r="J45" s="7" t="n"/>
      <c r="K45" s="7" t="n"/>
    </row>
    <row r="46">
      <c r="A46" s="57" t="n"/>
      <c r="B46" s="57" t="n"/>
      <c r="C46" s="7" t="n"/>
      <c r="D46" s="7" t="n"/>
      <c r="E46" s="7" t="n"/>
      <c r="F46" s="7" t="n"/>
      <c r="G46" s="58" t="n">
        <v>0</v>
      </c>
      <c r="H46" s="7" t="n"/>
      <c r="I46" s="7" t="inlineStr">
        <is>
          <t>☐</t>
        </is>
      </c>
      <c r="J46" s="7" t="n"/>
      <c r="K46" s="7" t="n"/>
    </row>
    <row r="47">
      <c r="A47" s="57" t="n"/>
      <c r="B47" s="57" t="n"/>
      <c r="C47" s="7" t="n"/>
      <c r="D47" s="7" t="n"/>
      <c r="E47" s="7" t="n"/>
      <c r="F47" s="7" t="n"/>
      <c r="G47" s="58" t="n">
        <v>0</v>
      </c>
      <c r="H47" s="7" t="n"/>
      <c r="I47" s="7" t="inlineStr">
        <is>
          <t>☐</t>
        </is>
      </c>
      <c r="J47" s="7" t="n"/>
      <c r="K47" s="7" t="n"/>
    </row>
    <row r="48">
      <c r="A48" s="57" t="n"/>
      <c r="B48" s="57" t="n"/>
      <c r="C48" s="7" t="n"/>
      <c r="D48" s="7" t="n"/>
      <c r="E48" s="7" t="n"/>
      <c r="F48" s="7" t="n"/>
      <c r="G48" s="58" t="n">
        <v>0</v>
      </c>
      <c r="H48" s="7" t="n"/>
      <c r="I48" s="7" t="inlineStr">
        <is>
          <t>☐</t>
        </is>
      </c>
      <c r="J48" s="7" t="n"/>
      <c r="K48" s="7" t="n"/>
    </row>
    <row r="49">
      <c r="A49" s="57" t="n"/>
      <c r="B49" s="57" t="n"/>
      <c r="C49" s="7" t="n"/>
      <c r="D49" s="7" t="n"/>
      <c r="E49" s="7" t="n"/>
      <c r="F49" s="7" t="n"/>
      <c r="G49" s="58" t="n">
        <v>0</v>
      </c>
      <c r="H49" s="7" t="n"/>
      <c r="I49" s="7" t="inlineStr">
        <is>
          <t>☐</t>
        </is>
      </c>
      <c r="J49" s="7" t="n"/>
      <c r="K49" s="7" t="n"/>
    </row>
    <row r="50">
      <c r="A50" s="57" t="n"/>
      <c r="B50" s="57" t="n"/>
      <c r="C50" s="7" t="n"/>
      <c r="D50" s="7" t="n"/>
      <c r="E50" s="7" t="n"/>
      <c r="F50" s="7" t="n"/>
      <c r="G50" s="58" t="n">
        <v>0</v>
      </c>
      <c r="H50" s="7" t="n"/>
      <c r="I50" s="7" t="inlineStr">
        <is>
          <t>☐</t>
        </is>
      </c>
      <c r="J50" s="7" t="n"/>
      <c r="K50" s="7" t="n"/>
    </row>
    <row r="51">
      <c r="A51" s="57" t="n"/>
      <c r="B51" s="57" t="n"/>
      <c r="C51" s="7" t="n"/>
      <c r="D51" s="7" t="n"/>
      <c r="E51" s="7" t="n"/>
      <c r="F51" s="7" t="n"/>
      <c r="G51" s="58" t="n">
        <v>0</v>
      </c>
      <c r="H51" s="7" t="n"/>
      <c r="I51" s="7" t="inlineStr">
        <is>
          <t>☐</t>
        </is>
      </c>
      <c r="J51" s="7" t="n"/>
      <c r="K51" s="7" t="n"/>
    </row>
    <row r="52">
      <c r="A52" s="57" t="n"/>
      <c r="B52" s="57" t="n"/>
      <c r="C52" s="7" t="n"/>
      <c r="D52" s="7" t="n"/>
      <c r="E52" s="7" t="n"/>
      <c r="F52" s="7" t="n"/>
      <c r="G52" s="58" t="n">
        <v>0</v>
      </c>
      <c r="H52" s="7" t="n"/>
      <c r="I52" s="7" t="inlineStr">
        <is>
          <t>☐</t>
        </is>
      </c>
      <c r="J52" s="7" t="n"/>
      <c r="K52" s="7" t="n"/>
    </row>
    <row r="53" ht="18" customHeight="1">
      <c r="A53" s="6" t="inlineStr">
        <is>
          <t>8月9日周六   济南</t>
        </is>
      </c>
      <c r="J53" s="7" t="n"/>
      <c r="K53" s="7" t="n"/>
    </row>
    <row r="54">
      <c r="A54" s="57" t="n"/>
      <c r="B54" s="57" t="n"/>
      <c r="C54" s="7" t="n"/>
      <c r="D54" s="7" t="n"/>
      <c r="E54" s="7" t="n"/>
      <c r="F54" s="7" t="n"/>
      <c r="G54" s="58" t="n"/>
      <c r="H54" s="7" t="n"/>
      <c r="I54" s="7" t="inlineStr">
        <is>
          <t>☐</t>
        </is>
      </c>
      <c r="J54" s="7" t="n"/>
      <c r="K54" s="7" t="n"/>
    </row>
  </sheetData>
  <mergeCells count="7">
    <mergeCell ref="A2:I2"/>
    <mergeCell ref="A28:I28"/>
    <mergeCell ref="A13:I13"/>
    <mergeCell ref="A36:I36"/>
    <mergeCell ref="A45:I45"/>
    <mergeCell ref="A17:I17"/>
    <mergeCell ref="A53:I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8"/>
  <sheetViews>
    <sheetView topLeftCell="A6" workbookViewId="0">
      <selection activeCell="B6" sqref="B6 C6 B12:C12 B13:C13 B14 C14 B27:C27 B30:C30 B21:C24 B31:C75 B25:C26 B28:C29 B7:C11"/>
    </sheetView>
  </sheetViews>
  <sheetFormatPr baseColWidth="8" defaultColWidth="9" defaultRowHeight="14.25"/>
  <sheetData>
    <row r="1">
      <c r="A1" s="53" t="n">
        <v>0.25</v>
      </c>
    </row>
    <row r="2">
      <c r="A2" s="53" t="n">
        <v>0.2569444444444444</v>
      </c>
    </row>
    <row r="3">
      <c r="A3" s="53" t="n">
        <v>0.2638888888888889</v>
      </c>
    </row>
    <row r="4">
      <c r="A4" s="53" t="n">
        <v>0.2708333333333333</v>
      </c>
    </row>
    <row r="5">
      <c r="A5" s="53" t="n">
        <v>0.2777777777777778</v>
      </c>
    </row>
    <row r="6">
      <c r="A6" s="53" t="n">
        <v>0.2847222222222222</v>
      </c>
    </row>
    <row r="7">
      <c r="A7" s="53" t="n">
        <v>0.2916666666666667</v>
      </c>
    </row>
    <row r="8">
      <c r="A8" s="53" t="n">
        <v>0.2986111111111111</v>
      </c>
    </row>
    <row r="9">
      <c r="A9" s="53" t="n">
        <v>0.3055555555555556</v>
      </c>
    </row>
    <row r="10">
      <c r="A10" s="53" t="n">
        <v>0.3125</v>
      </c>
    </row>
    <row r="11">
      <c r="A11" s="53" t="n">
        <v>0.3194444444444444</v>
      </c>
    </row>
    <row r="12">
      <c r="A12" s="53" t="n">
        <v>0.3263888888888889</v>
      </c>
    </row>
    <row r="13">
      <c r="A13" s="53" t="n">
        <v>0.3333333333333333</v>
      </c>
    </row>
    <row r="14">
      <c r="A14" s="53" t="n">
        <v>0.3402777777777778</v>
      </c>
    </row>
    <row r="15">
      <c r="A15" s="53" t="n">
        <v>0.3472222222222222</v>
      </c>
    </row>
    <row r="16">
      <c r="A16" s="53" t="n">
        <v>0.3541666666666667</v>
      </c>
    </row>
    <row r="17">
      <c r="A17" s="53" t="n">
        <v>0.3611111111111111</v>
      </c>
    </row>
    <row r="18">
      <c r="A18" s="53" t="n">
        <v>0.3680555555555556</v>
      </c>
    </row>
    <row r="19">
      <c r="A19" s="53" t="n">
        <v>0.375</v>
      </c>
    </row>
    <row r="20">
      <c r="A20" s="53" t="n">
        <v>0.3819444444444444</v>
      </c>
    </row>
    <row r="21">
      <c r="A21" s="53" t="n">
        <v>0.3888888888888889</v>
      </c>
    </row>
    <row r="22">
      <c r="A22" s="53" t="n">
        <v>0.3958333333333333</v>
      </c>
    </row>
    <row r="23">
      <c r="A23" s="53" t="n">
        <v>0.4027777777777778</v>
      </c>
    </row>
    <row r="24">
      <c r="A24" s="53" t="n">
        <v>0.4097222222222222</v>
      </c>
    </row>
    <row r="25">
      <c r="A25" s="53" t="n">
        <v>0.4166666666666667</v>
      </c>
    </row>
    <row r="26">
      <c r="A26" s="53" t="n">
        <v>0.4236111111111111</v>
      </c>
    </row>
    <row r="27">
      <c r="A27" s="53" t="n">
        <v>0.4305555555555556</v>
      </c>
    </row>
    <row r="28">
      <c r="A28" s="53" t="n">
        <v>0.4375</v>
      </c>
    </row>
    <row r="29">
      <c r="A29" s="53" t="n">
        <v>0.4444444444444444</v>
      </c>
    </row>
    <row r="30">
      <c r="A30" s="53" t="n">
        <v>0.4513888888888889</v>
      </c>
    </row>
    <row r="31">
      <c r="A31" s="53" t="n">
        <v>0.4583333333333333</v>
      </c>
    </row>
    <row r="32">
      <c r="A32" s="53" t="n">
        <v>0.4652777777777778</v>
      </c>
    </row>
    <row r="33">
      <c r="A33" s="53" t="n">
        <v>0.4722222222222222</v>
      </c>
    </row>
    <row r="34">
      <c r="A34" s="53" t="n">
        <v>0.4791666666666667</v>
      </c>
    </row>
    <row r="35">
      <c r="A35" s="53" t="n">
        <v>0.4861111111111111</v>
      </c>
    </row>
    <row r="36">
      <c r="A36" s="53" t="n">
        <v>0.4930555555555556</v>
      </c>
    </row>
    <row r="37">
      <c r="A37" s="53" t="n">
        <v>0.5</v>
      </c>
    </row>
    <row r="38">
      <c r="A38" s="53" t="n">
        <v>0.5069444444444444</v>
      </c>
    </row>
    <row r="39">
      <c r="A39" s="53" t="n">
        <v>0.5138888888888888</v>
      </c>
    </row>
    <row r="40">
      <c r="A40" s="53" t="n">
        <v>0.5208333333333334</v>
      </c>
    </row>
    <row r="41">
      <c r="A41" s="53" t="n">
        <v>0.5277777777777778</v>
      </c>
    </row>
    <row r="42">
      <c r="A42" s="53" t="n">
        <v>0.5347222222222222</v>
      </c>
    </row>
    <row r="43">
      <c r="A43" s="53" t="n">
        <v>0.5416666666666666</v>
      </c>
    </row>
    <row r="44">
      <c r="A44" s="53" t="n">
        <v>0.5486111111111112</v>
      </c>
    </row>
    <row r="45">
      <c r="A45" s="53" t="n">
        <v>0.5555555555555556</v>
      </c>
    </row>
    <row r="46">
      <c r="A46" s="53" t="n">
        <v>0.5625</v>
      </c>
    </row>
    <row r="47">
      <c r="A47" s="53" t="n">
        <v>0.5694444444444444</v>
      </c>
    </row>
    <row r="48">
      <c r="A48" s="53" t="n">
        <v>0.5763888888888888</v>
      </c>
    </row>
    <row r="49">
      <c r="A49" s="53" t="n">
        <v>0.5833333333333334</v>
      </c>
    </row>
    <row r="50">
      <c r="A50" s="53" t="n">
        <v>0.5902777777777778</v>
      </c>
    </row>
    <row r="51">
      <c r="A51" s="53" t="n">
        <v>0.5972222222222222</v>
      </c>
    </row>
    <row r="52">
      <c r="A52" s="53" t="n">
        <v>0.6041666666666666</v>
      </c>
    </row>
    <row r="53">
      <c r="A53" s="53" t="n">
        <v>0.6111111111111112</v>
      </c>
    </row>
    <row r="54">
      <c r="A54" s="53" t="n">
        <v>0.6180555555555556</v>
      </c>
    </row>
    <row r="55">
      <c r="A55" s="53" t="n">
        <v>0.625</v>
      </c>
    </row>
    <row r="56">
      <c r="A56" s="53" t="n">
        <v>0.6319444444444444</v>
      </c>
    </row>
    <row r="57">
      <c r="A57" s="53" t="n">
        <v>0.6388888888888888</v>
      </c>
    </row>
    <row r="58">
      <c r="A58" s="53" t="n">
        <v>0.6458333333333334</v>
      </c>
    </row>
    <row r="59">
      <c r="A59" s="53" t="n">
        <v>0.6527777777777778</v>
      </c>
    </row>
    <row r="60">
      <c r="A60" s="53" t="n">
        <v>0.6597222222222222</v>
      </c>
    </row>
    <row r="61">
      <c r="A61" s="53" t="n">
        <v>0.6666666666666666</v>
      </c>
    </row>
    <row r="62">
      <c r="A62" s="53" t="n">
        <v>0.6736111111111112</v>
      </c>
    </row>
    <row r="63">
      <c r="A63" s="53" t="n">
        <v>0.6805555555555556</v>
      </c>
    </row>
    <row r="64">
      <c r="A64" s="53" t="n">
        <v>0.6875</v>
      </c>
    </row>
    <row r="65">
      <c r="A65" s="53" t="n">
        <v>0.6944444444444444</v>
      </c>
    </row>
    <row r="66">
      <c r="A66" s="53" t="n">
        <v>0.7013888888888888</v>
      </c>
    </row>
    <row r="67">
      <c r="A67" s="53" t="n">
        <v>0.7083333333333334</v>
      </c>
    </row>
    <row r="68">
      <c r="A68" s="53" t="n">
        <v>0.7152777777777778</v>
      </c>
    </row>
    <row r="69">
      <c r="A69" s="53" t="n">
        <v>0.7222222222222222</v>
      </c>
    </row>
    <row r="70">
      <c r="A70" s="53" t="n">
        <v>0.7291666666666666</v>
      </c>
    </row>
    <row r="71">
      <c r="A71" s="53" t="n">
        <v>0.7361111111111112</v>
      </c>
    </row>
    <row r="72">
      <c r="A72" s="53" t="n">
        <v>0.7430555555555556</v>
      </c>
    </row>
    <row r="73">
      <c r="A73" s="53" t="n">
        <v>0.75</v>
      </c>
    </row>
    <row r="74">
      <c r="A74" s="53" t="n">
        <v>0.7569444444444444</v>
      </c>
    </row>
    <row r="75">
      <c r="A75" s="53" t="n">
        <v>0.7638888888888888</v>
      </c>
    </row>
    <row r="76">
      <c r="A76" s="53" t="n">
        <v>0.7708333333333334</v>
      </c>
    </row>
    <row r="77">
      <c r="A77" s="53" t="n">
        <v>0.7777777777777778</v>
      </c>
    </row>
    <row r="78">
      <c r="A78" s="53" t="n">
        <v>0.7847222222222222</v>
      </c>
    </row>
    <row r="79">
      <c r="A79" s="53" t="n">
        <v>0.7916666666666666</v>
      </c>
    </row>
    <row r="80">
      <c r="A80" s="53" t="n">
        <v>0.7986111111111112</v>
      </c>
    </row>
    <row r="81">
      <c r="A81" s="53" t="n">
        <v>0.8055555555555556</v>
      </c>
    </row>
    <row r="82">
      <c r="A82" s="53" t="n">
        <v>0.8125</v>
      </c>
    </row>
    <row r="83">
      <c r="A83" s="53" t="n">
        <v>0.8194444444444444</v>
      </c>
    </row>
    <row r="84">
      <c r="A84" s="53" t="n">
        <v>0.8263888888888888</v>
      </c>
    </row>
    <row r="85">
      <c r="A85" s="53" t="n">
        <v>0.8333333333333334</v>
      </c>
    </row>
    <row r="86">
      <c r="A86" s="53" t="n">
        <v>0.8402777777777778</v>
      </c>
    </row>
    <row r="87">
      <c r="A87" s="53" t="n">
        <v>0.8472222222222222</v>
      </c>
    </row>
    <row r="88">
      <c r="A88" s="53" t="n">
        <v>0.8541666666666666</v>
      </c>
    </row>
    <row r="89">
      <c r="A89" s="53" t="n">
        <v>0.8611111111111112</v>
      </c>
    </row>
    <row r="90">
      <c r="A90" s="53" t="n">
        <v>0.8680555555555556</v>
      </c>
    </row>
    <row r="91">
      <c r="A91" s="53" t="n">
        <v>0.875</v>
      </c>
    </row>
    <row r="92">
      <c r="A92" s="53" t="n">
        <v>0.8819444444444444</v>
      </c>
    </row>
    <row r="93">
      <c r="A93" s="53" t="n">
        <v>0.8888888888888888</v>
      </c>
    </row>
    <row r="94">
      <c r="A94" s="53" t="n">
        <v>0.8958333333333334</v>
      </c>
    </row>
    <row r="95">
      <c r="A95" s="53" t="n">
        <v>0.9027777777777778</v>
      </c>
    </row>
    <row r="96">
      <c r="A96" s="53" t="n">
        <v>0.9097222222222222</v>
      </c>
    </row>
    <row r="97">
      <c r="A97" s="53" t="n">
        <v>0.9166666666666666</v>
      </c>
    </row>
    <row r="98">
      <c r="A98" s="53" t="n">
        <v>0.9236111111111112</v>
      </c>
    </row>
    <row r="99">
      <c r="A99" s="53" t="n">
        <v>0.9305555555555556</v>
      </c>
    </row>
    <row r="100">
      <c r="A100" s="53" t="n">
        <v>0.9375</v>
      </c>
    </row>
    <row r="101">
      <c r="A101" s="53" t="n">
        <v>0.9444444444444444</v>
      </c>
    </row>
    <row r="102">
      <c r="A102" s="53" t="n">
        <v>0.9513888888888888</v>
      </c>
    </row>
    <row r="103">
      <c r="A103" s="53" t="n">
        <v>0.9583333333333334</v>
      </c>
    </row>
    <row r="104">
      <c r="A104" s="53" t="n">
        <v>0.9652777777777778</v>
      </c>
    </row>
    <row r="105">
      <c r="A105" s="53" t="n">
        <v>0.9722222222222222</v>
      </c>
    </row>
    <row r="106">
      <c r="A106" s="53" t="n">
        <v>0.9791666666666666</v>
      </c>
    </row>
    <row r="107">
      <c r="A107" s="53" t="n">
        <v>0.9861111111111112</v>
      </c>
    </row>
    <row r="108">
      <c r="A108" s="53" t="n">
        <v>0.9930555555555556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Luke Sun(孙亮)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2026-07-31T09:55:34Z</dcterms:modified>
  <cp:lastModifiedBy>hellsge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ADAAF59928E14C06ACF4B3AB386F5B4F_12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